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90F83F97-7A86-44FE-B597-A1EE52E953CE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완제품 임가공" sheetId="1" r:id="rId1"/>
    <sheet name="반제품 임가공" sheetId="11" r:id="rId2"/>
    <sheet name="완제품 일반무역" sheetId="12" r:id="rId3"/>
    <sheet name="반제품 일반무역" sheetId="13" r:id="rId4"/>
  </sheets>
  <definedNames>
    <definedName name="_xlnm.Print_Titles" localSheetId="1">'반제품 임가공'!$1:$7</definedName>
    <definedName name="_xlnm.Print_Titles" localSheetId="2">'완제품 일반무역'!$1:$7</definedName>
    <definedName name="_xlnm.Print_Titles" localSheetId="0">'완제품 임가공'!$1:$7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8" i="11" l="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184" i="11"/>
  <c r="M183" i="11" l="1"/>
  <c r="L135" i="1"/>
  <c r="N135" i="1" s="1"/>
  <c r="L134" i="1"/>
  <c r="N134" i="1" s="1"/>
  <c r="P4" i="12" l="1"/>
  <c r="P3" i="12"/>
  <c r="O58" i="12"/>
  <c r="O59" i="12"/>
  <c r="O60" i="12"/>
  <c r="O61" i="12"/>
  <c r="O62" i="12"/>
  <c r="O63" i="12"/>
  <c r="O64" i="12"/>
  <c r="O65" i="12"/>
  <c r="O57" i="12"/>
  <c r="O52" i="12"/>
  <c r="O53" i="12"/>
  <c r="O54" i="12"/>
  <c r="O55" i="12"/>
  <c r="O51" i="12"/>
  <c r="O42" i="12"/>
  <c r="O43" i="12"/>
  <c r="O44" i="12"/>
  <c r="O45" i="12"/>
  <c r="O50" i="12" s="1"/>
  <c r="O46" i="12"/>
  <c r="O47" i="12"/>
  <c r="O48" i="12"/>
  <c r="O49" i="12"/>
  <c r="O41" i="12"/>
  <c r="O33" i="12"/>
  <c r="O34" i="12"/>
  <c r="O35" i="12"/>
  <c r="O36" i="12"/>
  <c r="O37" i="12"/>
  <c r="O38" i="12"/>
  <c r="O39" i="12"/>
  <c r="O32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8" i="12"/>
  <c r="O56" i="12"/>
  <c r="O40" i="12"/>
  <c r="I66" i="12"/>
  <c r="I56" i="12"/>
  <c r="I50" i="12"/>
  <c r="I40" i="12"/>
  <c r="I31" i="12"/>
  <c r="O122" i="1"/>
  <c r="O123" i="1"/>
  <c r="O124" i="1"/>
  <c r="O121" i="1"/>
  <c r="O113" i="1"/>
  <c r="O114" i="1"/>
  <c r="O115" i="1"/>
  <c r="O116" i="1"/>
  <c r="O117" i="1"/>
  <c r="O118" i="1"/>
  <c r="O119" i="1"/>
  <c r="O112" i="1"/>
  <c r="O106" i="1"/>
  <c r="O107" i="1"/>
  <c r="O108" i="1"/>
  <c r="O109" i="1"/>
  <c r="O110" i="1"/>
  <c r="O105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88" i="1"/>
  <c r="O80" i="1"/>
  <c r="O81" i="1"/>
  <c r="O82" i="1"/>
  <c r="O83" i="1"/>
  <c r="O84" i="1"/>
  <c r="O85" i="1"/>
  <c r="O86" i="1"/>
  <c r="O79" i="1"/>
  <c r="O77" i="1"/>
  <c r="O76" i="1"/>
  <c r="O66" i="1"/>
  <c r="O67" i="1"/>
  <c r="O68" i="1"/>
  <c r="O69" i="1"/>
  <c r="O70" i="1"/>
  <c r="O71" i="1"/>
  <c r="O72" i="1"/>
  <c r="O73" i="1"/>
  <c r="O74" i="1"/>
  <c r="O65" i="1"/>
  <c r="O61" i="1"/>
  <c r="O62" i="1"/>
  <c r="O63" i="1"/>
  <c r="O60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22" i="1"/>
  <c r="O18" i="1"/>
  <c r="O19" i="1"/>
  <c r="O20" i="1"/>
  <c r="O17" i="1"/>
  <c r="O10" i="1"/>
  <c r="O11" i="1"/>
  <c r="O12" i="1"/>
  <c r="O13" i="1"/>
  <c r="O14" i="1"/>
  <c r="O15" i="1"/>
  <c r="O9" i="1"/>
  <c r="O120" i="1" l="1"/>
  <c r="O66" i="12"/>
  <c r="O31" i="12"/>
  <c r="I67" i="12"/>
  <c r="O125" i="1"/>
  <c r="O111" i="1"/>
  <c r="O104" i="1"/>
  <c r="O87" i="1"/>
  <c r="O78" i="1"/>
  <c r="O75" i="1"/>
  <c r="O46" i="1"/>
  <c r="O21" i="1"/>
  <c r="O127" i="1"/>
  <c r="O126" i="1"/>
  <c r="O64" i="1"/>
  <c r="O58" i="1"/>
  <c r="O57" i="1"/>
  <c r="O56" i="1"/>
  <c r="O55" i="1"/>
  <c r="O54" i="1"/>
  <c r="O53" i="1"/>
  <c r="O52" i="1"/>
  <c r="O51" i="1"/>
  <c r="O50" i="1"/>
  <c r="O49" i="1"/>
  <c r="O48" i="1"/>
  <c r="O47" i="1"/>
  <c r="O8" i="1"/>
  <c r="O16" i="1" s="1"/>
  <c r="I128" i="1"/>
  <c r="I125" i="1"/>
  <c r="I120" i="1"/>
  <c r="I111" i="1"/>
  <c r="I104" i="1"/>
  <c r="I87" i="1"/>
  <c r="I78" i="1"/>
  <c r="I75" i="1"/>
  <c r="I64" i="1"/>
  <c r="I59" i="1"/>
  <c r="I46" i="1"/>
  <c r="I21" i="1"/>
  <c r="I16" i="1"/>
  <c r="N4" i="13"/>
  <c r="N3" i="13"/>
  <c r="G20" i="13"/>
  <c r="G19" i="13"/>
  <c r="M20" i="13"/>
  <c r="M19" i="13"/>
  <c r="M9" i="13"/>
  <c r="M10" i="13"/>
  <c r="M11" i="13"/>
  <c r="M12" i="13"/>
  <c r="M13" i="13"/>
  <c r="M14" i="13"/>
  <c r="M15" i="13"/>
  <c r="M16" i="13"/>
  <c r="M17" i="13"/>
  <c r="M18" i="13"/>
  <c r="M8" i="13"/>
  <c r="M185" i="11"/>
  <c r="M178" i="11"/>
  <c r="M177" i="11"/>
  <c r="M176" i="11"/>
  <c r="M175" i="11"/>
  <c r="G186" i="11"/>
  <c r="M187" i="11"/>
  <c r="M165" i="11"/>
  <c r="M166" i="11"/>
  <c r="M167" i="11"/>
  <c r="M168" i="11"/>
  <c r="M169" i="11"/>
  <c r="M170" i="11"/>
  <c r="M171" i="11"/>
  <c r="M172" i="11"/>
  <c r="M173" i="11"/>
  <c r="M174" i="11"/>
  <c r="M179" i="11"/>
  <c r="M180" i="11"/>
  <c r="M181" i="11"/>
  <c r="M182" i="11"/>
  <c r="M164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48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99" i="11"/>
  <c r="M95" i="11"/>
  <c r="M96" i="11"/>
  <c r="M97" i="11"/>
  <c r="M94" i="11"/>
  <c r="M88" i="11"/>
  <c r="M89" i="11"/>
  <c r="M90" i="11"/>
  <c r="M91" i="11"/>
  <c r="M92" i="11"/>
  <c r="M87" i="11"/>
  <c r="M83" i="11"/>
  <c r="M84" i="11"/>
  <c r="M85" i="11"/>
  <c r="M82" i="11"/>
  <c r="M76" i="11"/>
  <c r="M77" i="11"/>
  <c r="M78" i="11"/>
  <c r="M79" i="11"/>
  <c r="M80" i="11"/>
  <c r="M75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59" i="11"/>
  <c r="M48" i="11"/>
  <c r="M49" i="11"/>
  <c r="M50" i="11"/>
  <c r="M51" i="11"/>
  <c r="M52" i="11"/>
  <c r="M53" i="11"/>
  <c r="M54" i="11"/>
  <c r="M55" i="11"/>
  <c r="M56" i="11"/>
  <c r="M57" i="11"/>
  <c r="M47" i="11"/>
  <c r="M35" i="11"/>
  <c r="M36" i="11"/>
  <c r="M37" i="11"/>
  <c r="M38" i="11"/>
  <c r="M39" i="11"/>
  <c r="M40" i="11"/>
  <c r="M41" i="11"/>
  <c r="M42" i="11"/>
  <c r="M43" i="11"/>
  <c r="M44" i="11"/>
  <c r="M45" i="11"/>
  <c r="M34" i="11"/>
  <c r="M30" i="11"/>
  <c r="M31" i="11"/>
  <c r="M32" i="11"/>
  <c r="M29" i="11"/>
  <c r="M21" i="11"/>
  <c r="M22" i="11"/>
  <c r="M23" i="11"/>
  <c r="M24" i="11"/>
  <c r="M25" i="11"/>
  <c r="M26" i="11"/>
  <c r="M27" i="11"/>
  <c r="M20" i="11"/>
  <c r="M9" i="11"/>
  <c r="M10" i="11"/>
  <c r="M11" i="11"/>
  <c r="M12" i="11"/>
  <c r="M13" i="11"/>
  <c r="M14" i="11"/>
  <c r="M15" i="11"/>
  <c r="M16" i="11"/>
  <c r="M17" i="11"/>
  <c r="M18" i="11"/>
  <c r="M8" i="11"/>
  <c r="G202" i="11"/>
  <c r="G163" i="11"/>
  <c r="G147" i="11"/>
  <c r="G98" i="11"/>
  <c r="G93" i="11"/>
  <c r="G81" i="11"/>
  <c r="G74" i="11"/>
  <c r="G58" i="11"/>
  <c r="G46" i="11"/>
  <c r="G28" i="11"/>
  <c r="G19" i="11"/>
  <c r="M186" i="11" l="1"/>
  <c r="M33" i="11"/>
  <c r="M86" i="11"/>
  <c r="G203" i="11"/>
  <c r="N3" i="11" s="1"/>
  <c r="M28" i="11"/>
  <c r="M58" i="11"/>
  <c r="O128" i="1"/>
  <c r="O129" i="1" s="1"/>
  <c r="P4" i="1" s="1"/>
  <c r="L132" i="1" s="1"/>
  <c r="O59" i="1"/>
  <c r="O67" i="12"/>
  <c r="I129" i="1"/>
  <c r="P3" i="1" s="1"/>
  <c r="M46" i="11"/>
  <c r="M202" i="11"/>
  <c r="M98" i="11"/>
  <c r="M163" i="11"/>
  <c r="M93" i="11"/>
  <c r="M147" i="11"/>
  <c r="M74" i="11"/>
  <c r="M81" i="11"/>
  <c r="M19" i="11"/>
  <c r="M203" i="11" l="1"/>
  <c r="N4" i="11" s="1"/>
  <c r="L133" i="1" s="1"/>
  <c r="N133" i="1" s="1"/>
  <c r="N132" i="1"/>
  <c r="L136" i="1" l="1"/>
  <c r="N136" i="1"/>
</calcChain>
</file>

<file path=xl/sharedStrings.xml><?xml version="1.0" encoding="utf-8"?>
<sst xmlns="http://schemas.openxmlformats.org/spreadsheetml/2006/main" count="860" uniqueCount="752">
  <si>
    <t>2027년 1&amp;2차 중국생산 완제품 임가공 의뢰 품목</t>
  </si>
  <si>
    <t>총 계획 금액</t>
  </si>
  <si>
    <t>기    종</t>
  </si>
  <si>
    <t>품목코드</t>
  </si>
  <si>
    <t>품목명</t>
  </si>
  <si>
    <t>재고 수량</t>
  </si>
  <si>
    <t>평균 판매량</t>
  </si>
  <si>
    <t>최근 3개월
(평균 판매량)</t>
  </si>
  <si>
    <t>적정 재고</t>
  </si>
  <si>
    <t>제품 단가</t>
  </si>
  <si>
    <t>1&amp;2차
(1, 2월)</t>
  </si>
  <si>
    <t>3&amp;4차
(3, 4월)</t>
  </si>
  <si>
    <t>5&amp;6차
(5, 6월)</t>
  </si>
  <si>
    <t>7&amp;8차
(7, 8월)</t>
  </si>
  <si>
    <t>9&amp;10차
(9, 10월)</t>
  </si>
  <si>
    <t>11&amp;12차
(11, 12월)</t>
  </si>
  <si>
    <t>계획 금액</t>
  </si>
  <si>
    <t>비고</t>
  </si>
  <si>
    <t>P.L
(T.R)</t>
  </si>
  <si>
    <t>007490</t>
  </si>
  <si>
    <t xml:space="preserve"> PL2-T11A</t>
  </si>
  <si>
    <t>007491</t>
  </si>
  <si>
    <t xml:space="preserve"> PL2-T22A</t>
  </si>
  <si>
    <t>014900</t>
  </si>
  <si>
    <t xml:space="preserve"> PL2-T38A</t>
  </si>
  <si>
    <t>014901</t>
  </si>
  <si>
    <t xml:space="preserve"> PL2-T44A</t>
  </si>
  <si>
    <t>007493</t>
  </si>
  <si>
    <t xml:space="preserve"> PL3-T11 </t>
  </si>
  <si>
    <t>007492</t>
  </si>
  <si>
    <t xml:space="preserve"> PL3-T22 </t>
  </si>
  <si>
    <t>014903</t>
  </si>
  <si>
    <t xml:space="preserve"> PL3-T38A</t>
  </si>
  <si>
    <t>014904</t>
  </si>
  <si>
    <t xml:space="preserve"> PL3-T44A</t>
  </si>
  <si>
    <t xml:space="preserve"> 소       계</t>
  </si>
  <si>
    <t>P.L
(전전압)</t>
  </si>
  <si>
    <t>007497</t>
  </si>
  <si>
    <t>PL2-0AR</t>
  </si>
  <si>
    <t>007498</t>
  </si>
  <si>
    <t>PL3-0AR</t>
  </si>
  <si>
    <t>007495</t>
  </si>
  <si>
    <t>PL2-024AR</t>
  </si>
  <si>
    <t>007496</t>
  </si>
  <si>
    <t>PL3-024AR</t>
  </si>
  <si>
    <t>P.L
LED</t>
  </si>
  <si>
    <t>007508</t>
  </si>
  <si>
    <t xml:space="preserve"> PL2-AL11 R</t>
  </si>
  <si>
    <t>007509</t>
  </si>
  <si>
    <t xml:space="preserve"> PL2-AL11 G</t>
  </si>
  <si>
    <t>007510</t>
  </si>
  <si>
    <t xml:space="preserve"> PL2-AL11 Y</t>
  </si>
  <si>
    <t>007502</t>
  </si>
  <si>
    <t xml:space="preserve"> PL2-AL22 R</t>
  </si>
  <si>
    <t>007503</t>
  </si>
  <si>
    <t xml:space="preserve"> PL2-AL22 G</t>
  </si>
  <si>
    <t>007504</t>
  </si>
  <si>
    <t xml:space="preserve"> PL2-AL22 Y</t>
  </si>
  <si>
    <t>007513</t>
  </si>
  <si>
    <t xml:space="preserve"> PL3-AL11 R</t>
  </si>
  <si>
    <t>007512</t>
  </si>
  <si>
    <t xml:space="preserve"> PL3-AL11 G</t>
  </si>
  <si>
    <t>007511</t>
  </si>
  <si>
    <t xml:space="preserve"> PL3-AL11 Y</t>
  </si>
  <si>
    <t>007505</t>
  </si>
  <si>
    <t xml:space="preserve"> PL3-AL22 R</t>
  </si>
  <si>
    <t>007506</t>
  </si>
  <si>
    <t xml:space="preserve"> PL3-AL22 G</t>
  </si>
  <si>
    <t>007507</t>
  </si>
  <si>
    <t xml:space="preserve"> PL3-AL22 Y</t>
  </si>
  <si>
    <t>007520</t>
  </si>
  <si>
    <t xml:space="preserve"> PL2-DL12 R</t>
  </si>
  <si>
    <t>007521</t>
  </si>
  <si>
    <t xml:space="preserve"> PL2-DL12 G</t>
  </si>
  <si>
    <t>007522</t>
  </si>
  <si>
    <t xml:space="preserve"> PL2-DL12 Y</t>
  </si>
  <si>
    <t>007523</t>
  </si>
  <si>
    <t xml:space="preserve"> PL3-DL12 R</t>
  </si>
  <si>
    <t>007524</t>
  </si>
  <si>
    <t xml:space="preserve"> PL3-DL12 G</t>
  </si>
  <si>
    <t>007525</t>
  </si>
  <si>
    <t xml:space="preserve"> PL3-DL12 Y</t>
  </si>
  <si>
    <t>007514</t>
  </si>
  <si>
    <t xml:space="preserve"> PL2-DL11 R</t>
  </si>
  <si>
    <t>007515</t>
  </si>
  <si>
    <t xml:space="preserve"> PL2-DL11 G</t>
  </si>
  <si>
    <t>007516</t>
  </si>
  <si>
    <t xml:space="preserve"> PL2-DL11 Y</t>
  </si>
  <si>
    <t>007517</t>
  </si>
  <si>
    <t xml:space="preserve"> PL3-DL11 R</t>
  </si>
  <si>
    <t>007518</t>
  </si>
  <si>
    <t xml:space="preserve"> PL3-DL11 G</t>
  </si>
  <si>
    <t>007519</t>
  </si>
  <si>
    <t xml:space="preserve"> PL3-DL11 Y</t>
  </si>
  <si>
    <t>A.P.L</t>
  </si>
  <si>
    <t>016055</t>
  </si>
  <si>
    <t xml:space="preserve"> APL2-AL22 R</t>
  </si>
  <si>
    <t>016054</t>
  </si>
  <si>
    <t xml:space="preserve"> APL2-AL22 G</t>
  </si>
  <si>
    <t>016056</t>
  </si>
  <si>
    <t xml:space="preserve"> APL2-AL22 Y</t>
  </si>
  <si>
    <t>016834</t>
  </si>
  <si>
    <t xml:space="preserve"> APL3-AL22 R</t>
  </si>
  <si>
    <t>016833</t>
  </si>
  <si>
    <t xml:space="preserve"> APL3-AL22 G</t>
  </si>
  <si>
    <t>016835</t>
  </si>
  <si>
    <t xml:space="preserve"> APL3-AL22 Y</t>
  </si>
  <si>
    <t>A.P.B.L</t>
  </si>
  <si>
    <t>016561</t>
  </si>
  <si>
    <t xml:space="preserve"> APBL2-AL22 R</t>
  </si>
  <si>
    <t>016560</t>
  </si>
  <si>
    <t xml:space="preserve"> APBL2-AL22 G</t>
  </si>
  <si>
    <t>016562</t>
  </si>
  <si>
    <t xml:space="preserve"> APBL2-AL22 Y</t>
  </si>
  <si>
    <t>016831</t>
  </si>
  <si>
    <t xml:space="preserve"> APBL3-AL22 R</t>
  </si>
  <si>
    <t>016830</t>
  </si>
  <si>
    <t xml:space="preserve"> APBL3-AL22 G</t>
  </si>
  <si>
    <t>016832</t>
  </si>
  <si>
    <t xml:space="preserve"> APBL3-AL22 Y</t>
  </si>
  <si>
    <t>APB</t>
  </si>
  <si>
    <t>009934</t>
  </si>
  <si>
    <t>AP12-11(R/N)</t>
  </si>
  <si>
    <t>017939</t>
  </si>
  <si>
    <t>AP12-11R</t>
  </si>
  <si>
    <t>010348</t>
  </si>
  <si>
    <t>AP12-11G</t>
  </si>
  <si>
    <t>009943</t>
  </si>
  <si>
    <t>AP13-11(R/N)</t>
  </si>
  <si>
    <t xml:space="preserve"> AR S/W</t>
  </si>
  <si>
    <t>009953</t>
  </si>
  <si>
    <t>AR2-211L</t>
  </si>
  <si>
    <t>009965</t>
  </si>
  <si>
    <t>AR2-311L</t>
  </si>
  <si>
    <t>009956</t>
  </si>
  <si>
    <t>AR2-222L</t>
  </si>
  <si>
    <t>009954</t>
  </si>
  <si>
    <t>AR2-211K</t>
  </si>
  <si>
    <t>009946</t>
  </si>
  <si>
    <t>AR2-220L</t>
  </si>
  <si>
    <t>009977</t>
  </si>
  <si>
    <t>AR3-211L</t>
  </si>
  <si>
    <t>009989</t>
  </si>
  <si>
    <t>AR3-311L</t>
  </si>
  <si>
    <t>009980</t>
  </si>
  <si>
    <t>AR3-222L</t>
  </si>
  <si>
    <t>009979</t>
  </si>
  <si>
    <t>AR3-222K</t>
  </si>
  <si>
    <t>009991</t>
  </si>
  <si>
    <t>AR3-322K</t>
  </si>
  <si>
    <t>A.S.E.P</t>
  </si>
  <si>
    <t>019885</t>
  </si>
  <si>
    <t>ASEP323-11RA</t>
  </si>
  <si>
    <t>019886</t>
  </si>
  <si>
    <t>ASEP334-11RA</t>
  </si>
  <si>
    <t>015059</t>
  </si>
  <si>
    <t>CTT-03C</t>
  </si>
  <si>
    <t>015060</t>
  </si>
  <si>
    <t>CTT-04C</t>
  </si>
  <si>
    <t>015056</t>
  </si>
  <si>
    <t>CTT-03P</t>
  </si>
  <si>
    <t>015055</t>
  </si>
  <si>
    <t>CTT-04P</t>
  </si>
  <si>
    <t>025012</t>
  </si>
  <si>
    <t>PTT-03C</t>
  </si>
  <si>
    <t>024236</t>
  </si>
  <si>
    <t>PTT-04C</t>
  </si>
  <si>
    <t>025013</t>
  </si>
  <si>
    <t>PTT-03P</t>
  </si>
  <si>
    <t>024775</t>
  </si>
  <si>
    <t>PTT-04P</t>
  </si>
  <si>
    <t>CT</t>
  </si>
  <si>
    <t>007407</t>
  </si>
  <si>
    <t>2P</t>
  </si>
  <si>
    <t>007408</t>
  </si>
  <si>
    <t>3P</t>
  </si>
  <si>
    <t>007409</t>
  </si>
  <si>
    <t>4P</t>
  </si>
  <si>
    <t>016531</t>
  </si>
  <si>
    <t>4P(일체형)</t>
  </si>
  <si>
    <t>007410</t>
  </si>
  <si>
    <t>5P</t>
  </si>
  <si>
    <t>007411</t>
  </si>
  <si>
    <t>6P</t>
  </si>
  <si>
    <t>016532</t>
  </si>
  <si>
    <t>6P(일체형)</t>
  </si>
  <si>
    <t>007412</t>
  </si>
  <si>
    <t>8P</t>
  </si>
  <si>
    <t>007413</t>
  </si>
  <si>
    <t>10P</t>
  </si>
  <si>
    <t>007414</t>
  </si>
  <si>
    <t>2P(SUS)</t>
  </si>
  <si>
    <t>007415</t>
  </si>
  <si>
    <t>3P(SUS)</t>
  </si>
  <si>
    <t>007416</t>
  </si>
  <si>
    <t>4P(SUS)</t>
  </si>
  <si>
    <t>007417</t>
  </si>
  <si>
    <t>5P(SUS)</t>
  </si>
  <si>
    <t>007418</t>
  </si>
  <si>
    <t>6P(SUS)</t>
  </si>
  <si>
    <t>007419</t>
  </si>
  <si>
    <t>8P(SUS)</t>
  </si>
  <si>
    <t>007420</t>
  </si>
  <si>
    <t>10P(SUS)</t>
  </si>
  <si>
    <t>휴즈홀다</t>
  </si>
  <si>
    <t>025338</t>
  </si>
  <si>
    <t>YS AFH-DI</t>
  </si>
  <si>
    <t>휴즈박스</t>
  </si>
  <si>
    <t>007323</t>
  </si>
  <si>
    <t>FB-1P30</t>
  </si>
  <si>
    <t>보조 S/W</t>
  </si>
  <si>
    <t>007327</t>
  </si>
  <si>
    <t>AX-05 (용성)회색</t>
  </si>
  <si>
    <t>014906</t>
  </si>
  <si>
    <t>AX-VTMS-W01(유동흰색)</t>
  </si>
  <si>
    <t>027332</t>
  </si>
  <si>
    <t>AX-ACB-W01(유동적색)</t>
  </si>
  <si>
    <t>W-LIMIT</t>
  </si>
  <si>
    <t>014905</t>
  </si>
  <si>
    <t xml:space="preserve"> W-LIMIT 투명(2B)</t>
  </si>
  <si>
    <t>RELAY
SOCKET</t>
  </si>
  <si>
    <t>007396</t>
  </si>
  <si>
    <t>SK MY-2</t>
  </si>
  <si>
    <t>007397</t>
  </si>
  <si>
    <t>SK MY-4</t>
  </si>
  <si>
    <t>007398</t>
  </si>
  <si>
    <t>SK LY-2</t>
  </si>
  <si>
    <t>007391</t>
  </si>
  <si>
    <t>SK-08</t>
  </si>
  <si>
    <t>007392</t>
  </si>
  <si>
    <t>SK-08F</t>
  </si>
  <si>
    <t>021514</t>
  </si>
  <si>
    <t>SK-08M</t>
  </si>
  <si>
    <t>007394</t>
  </si>
  <si>
    <t>SK-11</t>
  </si>
  <si>
    <t>007395</t>
  </si>
  <si>
    <t>SK-14K</t>
  </si>
  <si>
    <t>FT</t>
  </si>
  <si>
    <t>007421</t>
  </si>
  <si>
    <t>FT010-02ZA</t>
  </si>
  <si>
    <t>007423</t>
  </si>
  <si>
    <t>FT010-03ZA</t>
  </si>
  <si>
    <t>007447</t>
  </si>
  <si>
    <t>FT030-06ZF</t>
  </si>
  <si>
    <t>007449</t>
  </si>
  <si>
    <t>FT030-10ZF</t>
  </si>
  <si>
    <t>ASTB</t>
  </si>
  <si>
    <t>021512</t>
  </si>
  <si>
    <t>2AT020-01ZA(3가)</t>
  </si>
  <si>
    <t>021513</t>
  </si>
  <si>
    <t>2AT020-01SA</t>
  </si>
  <si>
    <t xml:space="preserve"> 합       계</t>
  </si>
  <si>
    <t>2027년 01월</t>
  </si>
  <si>
    <t>2027년 02월</t>
  </si>
  <si>
    <t>완제품 임가공</t>
  </si>
  <si>
    <t>반제품 임가공</t>
  </si>
  <si>
    <t>완제품 일반무역</t>
  </si>
  <si>
    <t>반제품 일반무역</t>
  </si>
  <si>
    <t>총 의뢰 금액</t>
  </si>
  <si>
    <t>2027년 1&amp;2차 중국생산 반제품 임가공 의뢰 품목</t>
  </si>
  <si>
    <t>CAM 
하부</t>
  </si>
  <si>
    <t>011367</t>
  </si>
  <si>
    <t>신형 캠 10A 하부 A'SSY</t>
  </si>
  <si>
    <t>024346</t>
  </si>
  <si>
    <t>신형 캠 10A 하부 A'SSY(볼트체결)</t>
  </si>
  <si>
    <t>025114</t>
  </si>
  <si>
    <t>신형 캠 10A 하부 A'SSY (1,2번유동제거)</t>
  </si>
  <si>
    <t>025115</t>
  </si>
  <si>
    <t>신형 캠 10A 하부 A'SSY (3,4번유동제거)</t>
  </si>
  <si>
    <t>015050</t>
  </si>
  <si>
    <t>신형 20A 하부 A'SSY</t>
  </si>
  <si>
    <t>011368</t>
  </si>
  <si>
    <t>신형 캠 30A 하부 A'SSY</t>
  </si>
  <si>
    <t>028141</t>
  </si>
  <si>
    <t>신형 캠 30A 하부 A'SSY(볼트체결)</t>
  </si>
  <si>
    <t>025344</t>
  </si>
  <si>
    <t>이중 캠 10A 하부 ASS'Y(1련용)</t>
  </si>
  <si>
    <t>025345</t>
  </si>
  <si>
    <t>이중 캠 10A 하부 ASS'Y(2련용)</t>
  </si>
  <si>
    <t>025116</t>
  </si>
  <si>
    <t>C20 하부 ASS'Y</t>
  </si>
  <si>
    <t>029649</t>
  </si>
  <si>
    <t>RAX 하부 ASS'Y (볼트 체결)</t>
  </si>
  <si>
    <t>하부</t>
  </si>
  <si>
    <t>011583</t>
  </si>
  <si>
    <t>1A1B(신형)</t>
  </si>
  <si>
    <t>023182</t>
  </si>
  <si>
    <t>1A1B(신형) SUS</t>
  </si>
  <si>
    <t>011584</t>
  </si>
  <si>
    <t>2A(신형)</t>
  </si>
  <si>
    <t>011585</t>
  </si>
  <si>
    <t>2B(신형)</t>
  </si>
  <si>
    <t>022600</t>
  </si>
  <si>
    <t>1A1B(하부)난연</t>
  </si>
  <si>
    <t>009122</t>
  </si>
  <si>
    <t>R22 1A1B 하부 앗세이</t>
  </si>
  <si>
    <t>R22 2A  하부 앗세이</t>
  </si>
  <si>
    <t>R22 2B  하부 앗세이</t>
  </si>
  <si>
    <t>보급형</t>
  </si>
  <si>
    <t>022703</t>
  </si>
  <si>
    <t>APBL 25Ø 홀다 ASS'Y R(보급형)</t>
  </si>
  <si>
    <t>022704</t>
  </si>
  <si>
    <t>APBL 25Ø 홀다 ASS'Y G(보급형)</t>
  </si>
  <si>
    <t>025119</t>
  </si>
  <si>
    <t>APBL 25Ø 홀다 ASS'Y Y(보급형)</t>
  </si>
  <si>
    <t>022705</t>
  </si>
  <si>
    <t>APBL COVER ASS'Y (보급형)</t>
  </si>
  <si>
    <t>25Ø B TYPE</t>
  </si>
  <si>
    <t>017272</t>
  </si>
  <si>
    <t>BR2 1A1B 하부+홀다 앗세이</t>
  </si>
  <si>
    <t>020400</t>
  </si>
  <si>
    <t>BR2 1A1B 하부</t>
  </si>
  <si>
    <t>017273</t>
  </si>
  <si>
    <t>BR2 2A2B 하부+홀다 앗세이</t>
  </si>
  <si>
    <t>017274</t>
  </si>
  <si>
    <t>BP1 1A1B 하부+홀다 앗세이</t>
  </si>
  <si>
    <t>017275</t>
  </si>
  <si>
    <t>BP1 2A2B 하부+홀다 앗세이</t>
  </si>
  <si>
    <t>020401</t>
  </si>
  <si>
    <t>BP1 1A1B 하부</t>
  </si>
  <si>
    <t>023849</t>
  </si>
  <si>
    <t>BP1 2A 하부</t>
  </si>
  <si>
    <t>023850</t>
  </si>
  <si>
    <t>BP1 2B 하부</t>
  </si>
  <si>
    <t>017278</t>
  </si>
  <si>
    <t>BPBL S/W 카바 앗세이</t>
  </si>
  <si>
    <t>017279</t>
  </si>
  <si>
    <t>BPL 써포트홀다 앗세이</t>
  </si>
  <si>
    <t>017280</t>
  </si>
  <si>
    <t>BPBL 써포트홀다 앗세이</t>
  </si>
  <si>
    <t>019842</t>
  </si>
  <si>
    <t>BPL 트랜스용 소켓 ASS'Y</t>
  </si>
  <si>
    <t>A형 PCB
(NPBL)</t>
  </si>
  <si>
    <t>018517</t>
  </si>
  <si>
    <t>A형 PCB ASS'Y(6.3V 1W_전전압)</t>
  </si>
  <si>
    <t>018513</t>
  </si>
  <si>
    <t>A형 PCB ASS'Y(DL125용)</t>
  </si>
  <si>
    <t>018514</t>
  </si>
  <si>
    <t>A형 PCB ASS'Y(DL220용)</t>
  </si>
  <si>
    <t>026557</t>
  </si>
  <si>
    <t>A형 PCB ASS'Y(DL48용)</t>
  </si>
  <si>
    <t>018191</t>
  </si>
  <si>
    <t>A형 PCB ASS'Y(AL220V)</t>
  </si>
  <si>
    <t>018326</t>
  </si>
  <si>
    <t>A형 PCB ASS'Y(AL110V)</t>
  </si>
  <si>
    <t>027302</t>
  </si>
  <si>
    <t>A형 PCB ASS'Y(AL220V)화이트캡 전용</t>
  </si>
  <si>
    <t>027301</t>
  </si>
  <si>
    <t>A형 PCB ASS'Y(AL110V)화이트캡 전용</t>
  </si>
  <si>
    <t>025884</t>
  </si>
  <si>
    <t>PL/PBL BULB AC110 (PL)</t>
  </si>
  <si>
    <t>025120</t>
  </si>
  <si>
    <t>PL/PBL BULB AC110 (NPBL)</t>
  </si>
  <si>
    <t>025121</t>
  </si>
  <si>
    <t>PL/PBL BULB AC220</t>
  </si>
  <si>
    <t>B형 PCB
(PL/PBL)</t>
  </si>
  <si>
    <t>017281</t>
  </si>
  <si>
    <t>BPL용 전전압 PCB 앗세이</t>
  </si>
  <si>
    <t>017761</t>
  </si>
  <si>
    <t>BPL용LEDAC110V PCB앗세이</t>
  </si>
  <si>
    <t>029650</t>
  </si>
  <si>
    <t>BPL용LEDAC110V PCB앗세이-SUS볼트</t>
  </si>
  <si>
    <t>017282</t>
  </si>
  <si>
    <t>BPL용LEDAC220V PCB앗세이</t>
  </si>
  <si>
    <t>029651</t>
  </si>
  <si>
    <t>BPL용LEDAC220V PCB앗세이-SUS볼트</t>
  </si>
  <si>
    <t>017759</t>
  </si>
  <si>
    <t>BPL용LED DC125V PCB앗세이</t>
  </si>
  <si>
    <t>029652</t>
  </si>
  <si>
    <t>BPL용LED DC125V PCB앗세이-SUS볼트</t>
  </si>
  <si>
    <t>028585</t>
  </si>
  <si>
    <t>BPL용LED DC220V PCB앗세이</t>
  </si>
  <si>
    <t>017313</t>
  </si>
  <si>
    <t>BPBL용 전전압 PCB 앗세이</t>
  </si>
  <si>
    <t>017760</t>
  </si>
  <si>
    <t>BPBL용LEDAC110V PCB앗세이</t>
  </si>
  <si>
    <t>029653</t>
  </si>
  <si>
    <t>BPBL용LEDAC110V PCB앗세이-SUS볼트</t>
  </si>
  <si>
    <t>017314</t>
  </si>
  <si>
    <t>BPBL용LEDAC220V PCB앗세이</t>
  </si>
  <si>
    <t>029654</t>
  </si>
  <si>
    <t>BPBL용LEDAC220V PCB앗세이-SUS볼트</t>
  </si>
  <si>
    <t>017758</t>
  </si>
  <si>
    <t>BPBL용LED DC125V PCB앗세이</t>
  </si>
  <si>
    <t>019852</t>
  </si>
  <si>
    <t>BPBL용 벌브용 AC220V PCB앗세이</t>
  </si>
  <si>
    <t>22파이
PCB</t>
  </si>
  <si>
    <t>015937</t>
  </si>
  <si>
    <t>AC220V PCB 앗세이</t>
  </si>
  <si>
    <t>027303</t>
  </si>
  <si>
    <t xml:space="preserve">AC220V PCB 앗세이 화이트캡 전용 </t>
  </si>
  <si>
    <t>015938</t>
  </si>
  <si>
    <t>AC110V PCB 앗세이</t>
  </si>
  <si>
    <t>015939</t>
  </si>
  <si>
    <t>DC110V PCB 앗세이</t>
  </si>
  <si>
    <t>015940</t>
  </si>
  <si>
    <t>DC24V PCB 앗세이</t>
  </si>
  <si>
    <t>015941</t>
  </si>
  <si>
    <t>DC220V PCB 앗세이</t>
  </si>
  <si>
    <t>보급형
PCB(PL/PBL)</t>
  </si>
  <si>
    <t>019853</t>
  </si>
  <si>
    <t>AC220V PCB 앗세이(LED6V)</t>
  </si>
  <si>
    <t>019854</t>
  </si>
  <si>
    <t>AC110V PCB 앗세이(LED6V)</t>
  </si>
  <si>
    <t>019855</t>
  </si>
  <si>
    <t>DC110V PCB 앗세이(LED6V)</t>
  </si>
  <si>
    <t>019856</t>
  </si>
  <si>
    <t>DC24V PCB 앗세이(LED6V)</t>
  </si>
  <si>
    <t>NPBL
트랜스</t>
  </si>
  <si>
    <t>022706</t>
  </si>
  <si>
    <t>AC 63.5V 트랜스</t>
  </si>
  <si>
    <t>008089</t>
  </si>
  <si>
    <t>AC 110V 트랜스</t>
  </si>
  <si>
    <t>008088</t>
  </si>
  <si>
    <t>AC 220V 트랜스</t>
  </si>
  <si>
    <t>008086</t>
  </si>
  <si>
    <t>트랜스조립(BULB)380V</t>
  </si>
  <si>
    <t>008087</t>
  </si>
  <si>
    <t>트랜스조립(BULB)440V</t>
  </si>
  <si>
    <t>028142</t>
  </si>
  <si>
    <t>트랜스조립(BULB)480V</t>
  </si>
  <si>
    <t>소형 부져
 코일</t>
  </si>
  <si>
    <t>011579</t>
  </si>
  <si>
    <t>AC 220 V</t>
  </si>
  <si>
    <t>011580</t>
  </si>
  <si>
    <t>AC 110 V</t>
  </si>
  <si>
    <t>강력 부져
코일</t>
  </si>
  <si>
    <t>011581</t>
  </si>
  <si>
    <t>011582</t>
  </si>
  <si>
    <t>MY
코일</t>
  </si>
  <si>
    <t>020119</t>
  </si>
  <si>
    <t xml:space="preserve">AC 220V_60HZ(COIL)ASS`Y(2중권선) </t>
  </si>
  <si>
    <t>028143</t>
  </si>
  <si>
    <t xml:space="preserve">AC 220V_50HZ/230V_60HZ(COIL)ASS`Y(2중권선) </t>
  </si>
  <si>
    <t>023353</t>
  </si>
  <si>
    <t>AC 230V_50HZ/240V_60HZ(COIL)ASS`Y(2중권선)</t>
  </si>
  <si>
    <t>020120</t>
  </si>
  <si>
    <t>AC 110V_60HZ(COIL)ASS`Y(2중권선)</t>
  </si>
  <si>
    <t>024238</t>
  </si>
  <si>
    <t>AC 110V_50HZ/120V_60HZ(COIL)ASS`Y(2중권선)</t>
  </si>
  <si>
    <t>020121</t>
  </si>
  <si>
    <t>AC 24V_60HZ(COIL)ASS`Y(2중권선)</t>
  </si>
  <si>
    <t>008111</t>
  </si>
  <si>
    <t>AC 220V_60HZ(COIL)ASS`Y</t>
  </si>
  <si>
    <t>008112</t>
  </si>
  <si>
    <t>AC 110V_60HZ(COIL)ASS`Y</t>
  </si>
  <si>
    <t>020122</t>
  </si>
  <si>
    <t>AC 24V_60HZ(COIL)ASS`Y</t>
  </si>
  <si>
    <t>008113</t>
  </si>
  <si>
    <t>DC 24V(COIL)ASS`Y</t>
  </si>
  <si>
    <t>008114</t>
  </si>
  <si>
    <t>DC 110V(COIL)ASS`Y</t>
  </si>
  <si>
    <t>014681</t>
  </si>
  <si>
    <t>DC 12V(COIL)ASS`Y</t>
  </si>
  <si>
    <t>008115</t>
  </si>
  <si>
    <t>DC 125V(COIL)ASS`Y</t>
  </si>
  <si>
    <t>014682</t>
  </si>
  <si>
    <t>DC 220V(COIL)ASS`Y</t>
  </si>
  <si>
    <t>C-RY
코일</t>
  </si>
  <si>
    <t>008118</t>
  </si>
  <si>
    <t>AC 220V(COIL)ASS`Y</t>
  </si>
  <si>
    <t>024239</t>
  </si>
  <si>
    <t>AC 63.5V(COIL)ASS`Y</t>
  </si>
  <si>
    <t>009147</t>
  </si>
  <si>
    <t>009145</t>
  </si>
  <si>
    <t>009144</t>
  </si>
  <si>
    <t>AC 110V(COIL)ASS`Y</t>
  </si>
  <si>
    <t>019843</t>
  </si>
  <si>
    <t>AC 120V(COIL)ASS`Y(50HZ)</t>
  </si>
  <si>
    <t>014679</t>
  </si>
  <si>
    <t>009146</t>
  </si>
  <si>
    <t>014680</t>
  </si>
  <si>
    <t>MMK
코일
(4P)</t>
  </si>
  <si>
    <t>024639</t>
  </si>
  <si>
    <t>(SET)AC 110V ASS`Y</t>
  </si>
  <si>
    <t>024640</t>
  </si>
  <si>
    <t>(RE SET)AC 110V ASS`Y</t>
  </si>
  <si>
    <t>019845</t>
  </si>
  <si>
    <t>(SET)AC 220V ASS`Y</t>
  </si>
  <si>
    <t>024641</t>
  </si>
  <si>
    <t>(RE SET)AC 220V ASS`Y</t>
  </si>
  <si>
    <t>017283</t>
  </si>
  <si>
    <t>(SET)DC 24V ASS`Y</t>
  </si>
  <si>
    <t>017284</t>
  </si>
  <si>
    <t>(RE SET)DC 24V ASS`Y</t>
  </si>
  <si>
    <t>017285</t>
  </si>
  <si>
    <t>(SET)DC 110V ASS`Y</t>
  </si>
  <si>
    <t>017286</t>
  </si>
  <si>
    <t>(RE SET)DC 110V ASS`Y</t>
  </si>
  <si>
    <t>017287</t>
  </si>
  <si>
    <t>(SET)DC 125V ASS`Y</t>
  </si>
  <si>
    <t>017288</t>
  </si>
  <si>
    <t>(RE SET)DC 125V ASS`Y</t>
  </si>
  <si>
    <t>024642</t>
  </si>
  <si>
    <t>(SET)DC 220V ASS`Y</t>
  </si>
  <si>
    <t>024643</t>
  </si>
  <si>
    <t>(RE SET)DC 220V ASS`Y</t>
  </si>
  <si>
    <t>MMK
코일
(2P)</t>
  </si>
  <si>
    <t>019844</t>
  </si>
  <si>
    <t>019851</t>
  </si>
  <si>
    <t>019846</t>
  </si>
  <si>
    <t>019847</t>
  </si>
  <si>
    <t>(SET)DC 48V ASS`Y</t>
  </si>
  <si>
    <t>019848</t>
  </si>
  <si>
    <t>019849</t>
  </si>
  <si>
    <t>019850</t>
  </si>
  <si>
    <t>MM 코일</t>
  </si>
  <si>
    <t>024345</t>
  </si>
  <si>
    <t>P-RY
코일</t>
  </si>
  <si>
    <t>017834</t>
  </si>
  <si>
    <t>017833</t>
  </si>
  <si>
    <t>017835</t>
  </si>
  <si>
    <t>017836</t>
  </si>
  <si>
    <t>017837</t>
  </si>
  <si>
    <t>SL-33
PCB
(BSL)</t>
  </si>
  <si>
    <t>024240</t>
  </si>
  <si>
    <t>33D AC110V(BSL)</t>
  </si>
  <si>
    <t>024241</t>
  </si>
  <si>
    <t>33D AC220V(BSL)</t>
  </si>
  <si>
    <t>024629</t>
  </si>
  <si>
    <t>33D DC24V(BSL)</t>
  </si>
  <si>
    <t>033311</t>
  </si>
  <si>
    <t>33D DC24V(BSL) +COM</t>
  </si>
  <si>
    <t>024630</t>
  </si>
  <si>
    <t>33D DC48V(BSL)</t>
  </si>
  <si>
    <t>024631</t>
  </si>
  <si>
    <t>33D DC125V(BSL)</t>
  </si>
  <si>
    <t>024632</t>
  </si>
  <si>
    <t>33D DC220V(BSL)</t>
  </si>
  <si>
    <t>SL-33 (CSL)
PCB
(CSL)</t>
  </si>
  <si>
    <t>024633</t>
  </si>
  <si>
    <t>33D AC110V(CSL)</t>
  </si>
  <si>
    <t>024634</t>
  </si>
  <si>
    <t>33D AC220V(CSL)</t>
  </si>
  <si>
    <t>024635</t>
  </si>
  <si>
    <t>33D DC24V(CSL)</t>
  </si>
  <si>
    <t>024636</t>
  </si>
  <si>
    <t>33D DC48V(CSL)</t>
  </si>
  <si>
    <t>024637</t>
  </si>
  <si>
    <t>33D DC125V(CSL)</t>
  </si>
  <si>
    <t>024638</t>
  </si>
  <si>
    <t>33D DC220V(CSL)</t>
  </si>
  <si>
    <t>SL-33
PCB</t>
  </si>
  <si>
    <t>028061</t>
  </si>
  <si>
    <t>33D DC125V(BSL) PCB ASS`Y</t>
  </si>
  <si>
    <t>028885</t>
  </si>
  <si>
    <t xml:space="preserve">33D DC220V(BSL) PCB ASS`Y </t>
  </si>
  <si>
    <t xml:space="preserve"> 소  계</t>
  </si>
  <si>
    <t>NPBL</t>
  </si>
  <si>
    <t>018516</t>
  </si>
  <si>
    <t>유동 접점 콕킹</t>
  </si>
  <si>
    <t>025708</t>
  </si>
  <si>
    <t>NPBL 고정접점(NO) ASS`Y A</t>
  </si>
  <si>
    <t>NPBL 고정접점(NO) ASS`Y B</t>
  </si>
  <si>
    <t>NPBL 고정접점(NC) ASS`Y A</t>
  </si>
  <si>
    <t>NPBL 고정접점(NC) ASS`Y B</t>
  </si>
  <si>
    <t>5A CAM</t>
  </si>
  <si>
    <t>021731</t>
  </si>
  <si>
    <t>5A CAM  고정접점콕킹 ASS'Y</t>
  </si>
  <si>
    <t>021732</t>
  </si>
  <si>
    <t>5A CAM  유동접점콕킹 ASS'Y</t>
  </si>
  <si>
    <t>모자이크 5A</t>
  </si>
  <si>
    <t>021733</t>
  </si>
  <si>
    <t>모자이크5A 고정접점콕킹 ASS'Y</t>
  </si>
  <si>
    <t>021734</t>
  </si>
  <si>
    <t>모자이크5A 유동접점콕킹 ASS'Y</t>
  </si>
  <si>
    <t>리미트</t>
  </si>
  <si>
    <t>021735</t>
  </si>
  <si>
    <t>리미트 고정접점콕킹 ASS'Y</t>
  </si>
  <si>
    <t>021736</t>
  </si>
  <si>
    <t>리미트 유동접점콕킹 ASS'Y</t>
  </si>
  <si>
    <t>V형 M S/W</t>
  </si>
  <si>
    <t>027130</t>
  </si>
  <si>
    <t xml:space="preserve"> V형 M S/W(P-15C)</t>
  </si>
  <si>
    <t>Z형 M S/W</t>
  </si>
  <si>
    <t>021739</t>
  </si>
  <si>
    <t xml:space="preserve"> Z형 M S/W 1번고정접점콕킹 ASS'Y</t>
  </si>
  <si>
    <t>021740</t>
  </si>
  <si>
    <t xml:space="preserve"> Z형 M S/W 3번고정접점콕킹 ASS'Y</t>
  </si>
  <si>
    <t>021741</t>
  </si>
  <si>
    <t xml:space="preserve"> Z형 M S/W 유동접점콕킹 ASS'Y</t>
  </si>
  <si>
    <t>APL(전전압)</t>
  </si>
  <si>
    <t>008093</t>
  </si>
  <si>
    <t>PL2-0A</t>
  </si>
  <si>
    <t>008094</t>
  </si>
  <si>
    <t>PL3-0A</t>
  </si>
  <si>
    <t>AP</t>
  </si>
  <si>
    <t>010350</t>
  </si>
  <si>
    <t>AP12-11(캡없이)</t>
  </si>
  <si>
    <t>010353</t>
  </si>
  <si>
    <t>AP13-11(캡없이)</t>
  </si>
  <si>
    <t>020851</t>
  </si>
  <si>
    <t>AP12-11(캡없이)SUS</t>
  </si>
  <si>
    <t>020852</t>
  </si>
  <si>
    <t>AP13-11(캡없이)SUS</t>
  </si>
  <si>
    <t>018177</t>
  </si>
  <si>
    <t>AP12-22(캡없이)</t>
  </si>
  <si>
    <t>018178</t>
  </si>
  <si>
    <t>AP13-22(캡없이)</t>
  </si>
  <si>
    <t>AR</t>
  </si>
  <si>
    <t>029792</t>
  </si>
  <si>
    <t>AR2-2단 K형 홀다 ASS`Y</t>
  </si>
  <si>
    <t>029793</t>
  </si>
  <si>
    <t>AR2-3단 K형 홀다 ASS`Y</t>
  </si>
  <si>
    <t>029794</t>
  </si>
  <si>
    <t>AR3-2단 K형 홀다 ASS`Y</t>
  </si>
  <si>
    <t>B형</t>
  </si>
  <si>
    <t>033595</t>
  </si>
  <si>
    <t>BR2 2단 K형 홀다 ASS'Y</t>
  </si>
  <si>
    <t>033594</t>
  </si>
  <si>
    <t>BP1 25@ 홀다 ASS'Y B</t>
  </si>
  <si>
    <t>033593</t>
  </si>
  <si>
    <t>BP1 25@ 홀다 ASS'Y R</t>
  </si>
  <si>
    <t>033592</t>
  </si>
  <si>
    <t>BPBL 25@ 홀다 ASS'Y G</t>
  </si>
  <si>
    <t>2027년 1&amp;2차 중국생산 완제품 일반무역 의뢰 품목</t>
  </si>
  <si>
    <t>T.B</t>
  </si>
  <si>
    <t xml:space="preserve"> FT015-06ZA </t>
  </si>
  <si>
    <t xml:space="preserve"> FT015-10ZA </t>
  </si>
  <si>
    <t xml:space="preserve"> FT020-03ZA </t>
  </si>
  <si>
    <t xml:space="preserve"> FT020-04ZA </t>
  </si>
  <si>
    <t xml:space="preserve"> FT020-06ZA </t>
  </si>
  <si>
    <t xml:space="preserve"> FT020-10ZA </t>
  </si>
  <si>
    <t xml:space="preserve"> FT020-12ZA </t>
  </si>
  <si>
    <t xml:space="preserve"> FT020-15ZA </t>
  </si>
  <si>
    <t xml:space="preserve"> FT020-20ZA </t>
  </si>
  <si>
    <t xml:space="preserve"> FT015-06SA </t>
  </si>
  <si>
    <t xml:space="preserve"> FT020-03SA </t>
  </si>
  <si>
    <t xml:space="preserve"> FT020-04SA </t>
  </si>
  <si>
    <t xml:space="preserve"> FT020-06SA </t>
  </si>
  <si>
    <t xml:space="preserve"> FT020-10SA </t>
  </si>
  <si>
    <t xml:space="preserve"> FT020-12SA</t>
  </si>
  <si>
    <t xml:space="preserve"> FT020-15SA </t>
  </si>
  <si>
    <t xml:space="preserve"> FT020-20SA </t>
  </si>
  <si>
    <t xml:space="preserve"> FT030-03ZA </t>
  </si>
  <si>
    <t xml:space="preserve"> FT030-04ZA </t>
  </si>
  <si>
    <t xml:space="preserve"> FT030-03SA </t>
  </si>
  <si>
    <t xml:space="preserve"> FT030-04SA </t>
  </si>
  <si>
    <t xml:space="preserve"> FT030-06SA </t>
  </si>
  <si>
    <t xml:space="preserve"> FT030-10SA </t>
  </si>
  <si>
    <t>A.S.T.B</t>
  </si>
  <si>
    <t>007399</t>
  </si>
  <si>
    <t>AT015-01ZA</t>
  </si>
  <si>
    <t>007403</t>
  </si>
  <si>
    <t>AT015-01SA</t>
  </si>
  <si>
    <t>007400</t>
  </si>
  <si>
    <t>AT025-01ZA</t>
  </si>
  <si>
    <t>007404</t>
  </si>
  <si>
    <t>AT025-01SA</t>
  </si>
  <si>
    <t>007401</t>
  </si>
  <si>
    <t>AT035-01ZA</t>
  </si>
  <si>
    <t>007405</t>
  </si>
  <si>
    <t>AT035-01SA</t>
  </si>
  <si>
    <t>007402</t>
  </si>
  <si>
    <t>AT060-01ZA</t>
  </si>
  <si>
    <t>007406</t>
  </si>
  <si>
    <t>AT060-01SA</t>
  </si>
  <si>
    <t>ODM
소켓</t>
  </si>
  <si>
    <t>026120</t>
  </si>
  <si>
    <t>YSSK-08S(10F-2Z-C1)</t>
  </si>
  <si>
    <t>026122</t>
  </si>
  <si>
    <t>YSSK-11S(PF113A)</t>
  </si>
  <si>
    <t>026123</t>
  </si>
  <si>
    <t>YSS-08FS(P2CF-08)</t>
  </si>
  <si>
    <t>026544</t>
  </si>
  <si>
    <t>YSSK MY-2S(RY08A-C6)</t>
  </si>
  <si>
    <t>026578</t>
  </si>
  <si>
    <t>YSSK MY-2P(RY08A-C8)</t>
  </si>
  <si>
    <t>026126</t>
  </si>
  <si>
    <t>YSSK MY-4S(RY14A-C6)</t>
  </si>
  <si>
    <t>026127</t>
  </si>
  <si>
    <t>YSSK MY-4P(RY14A-C8)</t>
  </si>
  <si>
    <t>026124</t>
  </si>
  <si>
    <t>YSSK LY-2S(RT08A-C6)</t>
  </si>
  <si>
    <t>026128</t>
  </si>
  <si>
    <t>YSSK LY-4S(RT14A-C6)</t>
  </si>
  <si>
    <t>직부등</t>
  </si>
  <si>
    <t>023518</t>
  </si>
  <si>
    <t>YS RCL-5W</t>
  </si>
  <si>
    <t>023519</t>
  </si>
  <si>
    <t>YS RCL-10W</t>
  </si>
  <si>
    <t>022509</t>
  </si>
  <si>
    <t>YS T8-30-5</t>
  </si>
  <si>
    <t>022510</t>
  </si>
  <si>
    <t>YS T8-35-10</t>
  </si>
  <si>
    <t>027681</t>
  </si>
  <si>
    <t>YS T8-60-20</t>
  </si>
  <si>
    <t>기타</t>
  </si>
  <si>
    <t>024763</t>
  </si>
  <si>
    <t>YS CFPC-8</t>
  </si>
  <si>
    <t>025170</t>
  </si>
  <si>
    <t>콘트롤스위치 가드 22@</t>
  </si>
  <si>
    <t>025171</t>
  </si>
  <si>
    <t>콘트롤스위치 가드 25@</t>
  </si>
  <si>
    <t>025172</t>
  </si>
  <si>
    <t>콘트롤스위치 가드 30@</t>
  </si>
  <si>
    <t>025176</t>
  </si>
  <si>
    <t>콘트롤스위치 가드 스티커(OFF)</t>
  </si>
  <si>
    <t>027882</t>
  </si>
  <si>
    <t>PI- 22 HY(인디게이터) 하이닉스</t>
  </si>
  <si>
    <t>027883</t>
  </si>
  <si>
    <t>PI-C 22 HY(인디게이터) 차단기 하이닉스</t>
  </si>
  <si>
    <t>027884</t>
  </si>
  <si>
    <t>PI-C 11 HY(인디게이터) 차단기 하이닉스</t>
  </si>
  <si>
    <t>027885</t>
  </si>
  <si>
    <t>PI- 11 HY(인디게이터) 하이닉스</t>
  </si>
  <si>
    <t>2027년 1&amp;2차 중국생산 반제품 일반무역 의뢰 품목</t>
  </si>
  <si>
    <t>MY
LED
앗세이</t>
  </si>
  <si>
    <t>008104</t>
  </si>
  <si>
    <t>AC220V</t>
  </si>
  <si>
    <t>008107</t>
  </si>
  <si>
    <t xml:space="preserve">DC24V </t>
  </si>
  <si>
    <t>008110</t>
  </si>
  <si>
    <t>DC220V</t>
  </si>
  <si>
    <t>008109</t>
  </si>
  <si>
    <t>DC125V</t>
  </si>
  <si>
    <t>014203</t>
  </si>
  <si>
    <t>DC48V</t>
  </si>
  <si>
    <t>014204</t>
  </si>
  <si>
    <t>DC12V</t>
  </si>
  <si>
    <t>MR
LED
앗세이</t>
  </si>
  <si>
    <t>018194</t>
  </si>
  <si>
    <t>016933</t>
  </si>
  <si>
    <t>016934</t>
  </si>
  <si>
    <t>016935</t>
  </si>
  <si>
    <t>테이프</t>
  </si>
  <si>
    <t>028468</t>
  </si>
  <si>
    <t xml:space="preserve">BC 양면 테이프 </t>
  </si>
  <si>
    <t xml:space="preserve"> 소       계</t>
    <phoneticPr fontId="9" type="noConversion"/>
  </si>
  <si>
    <t>033967</t>
    <phoneticPr fontId="9" type="noConversion"/>
  </si>
  <si>
    <t>CN</t>
    <phoneticPr fontId="9" type="noConversion"/>
  </si>
  <si>
    <t>033971</t>
  </si>
  <si>
    <t>033970</t>
  </si>
  <si>
    <t>033969</t>
  </si>
  <si>
    <t>033968</t>
  </si>
  <si>
    <t>CN 콘센트집 ASSY(17-32번)</t>
    <phoneticPr fontId="9" type="noConversion"/>
  </si>
  <si>
    <t>CN 콘센트집 ASSY(1-16번)</t>
    <phoneticPr fontId="9" type="noConversion"/>
  </si>
  <si>
    <t>CN 플러그집 ASSY(17-32번)</t>
    <phoneticPr fontId="9" type="noConversion"/>
  </si>
  <si>
    <t>CN 플러그집 ASSY(1-16번)</t>
    <phoneticPr fontId="9" type="noConversion"/>
  </si>
  <si>
    <t>Z형 M S/W DC유동접점단자 콕킹 ASSY</t>
    <phoneticPr fontId="9" type="noConversion"/>
  </si>
  <si>
    <t>총 계획 수량</t>
    <phoneticPr fontId="9" type="noConversion"/>
  </si>
  <si>
    <t>완제품 임가공</t>
    <phoneticPr fontId="9" type="noConversion"/>
  </si>
  <si>
    <t>반제품 임가공</t>
    <phoneticPr fontId="9" type="noConversion"/>
  </si>
  <si>
    <t>완제품 일반무역</t>
    <phoneticPr fontId="9" type="noConversion"/>
  </si>
  <si>
    <t>반제품 일반무역</t>
    <phoneticPr fontId="9" type="noConversion"/>
  </si>
  <si>
    <t>총 의뢰 금액</t>
    <phoneticPr fontId="9" type="noConversion"/>
  </si>
  <si>
    <t>033902</t>
    <phoneticPr fontId="9" type="noConversion"/>
  </si>
  <si>
    <t>M S/W 1010 레바 조립(스프링 제외)</t>
  </si>
  <si>
    <t>033903</t>
    <phoneticPr fontId="9" type="noConversion"/>
  </si>
  <si>
    <t>M S/W 1215 레바 조립(스프링 제외)</t>
  </si>
  <si>
    <t>025762</t>
    <phoneticPr fontId="9" type="noConversion"/>
  </si>
  <si>
    <t>021508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</si>
</sst>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#,##0;[Red]#,##0"/>
    <numFmt numFmtId="178" formatCode="000000"/>
  </numFmts>
  <fonts count="10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6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 style="thin">
        <color auto="1"/>
      </diagonal>
    </border>
    <border diagonalDown="1">
      <left/>
      <right style="thin">
        <color auto="1"/>
      </right>
      <top style="medium">
        <color indexed="64"/>
      </top>
      <bottom style="medium">
        <color indexed="64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 style="thin">
        <color auto="1"/>
      </diagonal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8">
    <xf numFmtId="0" fontId="0" fillId="0" borderId="0" xfId="0"/>
    <xf numFmtId="41" fontId="1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vertical="center"/>
    </xf>
    <xf numFmtId="41" fontId="2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41" fontId="1" fillId="0" borderId="0" xfId="0" applyNumberFormat="1" applyFont="1" applyAlignment="1">
      <alignment vertical="center"/>
    </xf>
    <xf numFmtId="41" fontId="4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vertical="center"/>
    </xf>
    <xf numFmtId="176" fontId="2" fillId="0" borderId="9" xfId="0" applyNumberFormat="1" applyFont="1" applyBorder="1" applyAlignment="1">
      <alignment horizontal="center" vertical="center"/>
    </xf>
    <xf numFmtId="41" fontId="2" fillId="0" borderId="9" xfId="0" applyNumberFormat="1" applyFont="1" applyBorder="1" applyAlignment="1">
      <alignment horizontal="left" vertical="center"/>
    </xf>
    <xf numFmtId="41" fontId="2" fillId="0" borderId="9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41" fontId="2" fillId="0" borderId="10" xfId="0" applyNumberFormat="1" applyFont="1" applyBorder="1" applyAlignment="1">
      <alignment horizontal="left" vertical="center"/>
    </xf>
    <xf numFmtId="41" fontId="2" fillId="0" borderId="10" xfId="0" applyNumberFormat="1" applyFont="1" applyBorder="1" applyAlignment="1">
      <alignment vertical="center"/>
    </xf>
    <xf numFmtId="3" fontId="2" fillId="0" borderId="10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41" fontId="2" fillId="0" borderId="17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41" fontId="2" fillId="0" borderId="22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178" fontId="2" fillId="0" borderId="9" xfId="0" applyNumberFormat="1" applyFont="1" applyBorder="1" applyAlignment="1">
      <alignment horizontal="center" vertical="center" wrapText="1"/>
    </xf>
    <xf numFmtId="41" fontId="2" fillId="0" borderId="28" xfId="0" applyNumberFormat="1" applyFont="1" applyBorder="1" applyAlignment="1">
      <alignment horizontal="center" vertical="center"/>
    </xf>
    <xf numFmtId="41" fontId="2" fillId="0" borderId="29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 wrapText="1"/>
    </xf>
    <xf numFmtId="41" fontId="2" fillId="0" borderId="30" xfId="0" applyNumberFormat="1" applyFont="1" applyBorder="1" applyAlignment="1">
      <alignment horizontal="center" vertical="center"/>
    </xf>
    <xf numFmtId="41" fontId="2" fillId="0" borderId="10" xfId="0" applyNumberFormat="1" applyFont="1" applyBorder="1" applyAlignment="1">
      <alignment horizontal="left" vertical="center" wrapText="1"/>
    </xf>
    <xf numFmtId="41" fontId="6" fillId="0" borderId="10" xfId="0" applyNumberFormat="1" applyFont="1" applyBorder="1" applyAlignment="1">
      <alignment horizontal="left" vertical="center"/>
    </xf>
    <xf numFmtId="41" fontId="6" fillId="0" borderId="10" xfId="0" applyNumberFormat="1" applyFont="1" applyBorder="1" applyAlignment="1">
      <alignment vertical="center"/>
    </xf>
    <xf numFmtId="3" fontId="6" fillId="0" borderId="10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1" fontId="7" fillId="0" borderId="10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center" vertical="center"/>
    </xf>
    <xf numFmtId="41" fontId="8" fillId="0" borderId="10" xfId="0" applyNumberFormat="1" applyFont="1" applyBorder="1" applyAlignment="1">
      <alignment horizontal="left" vertical="center"/>
    </xf>
    <xf numFmtId="41" fontId="7" fillId="0" borderId="10" xfId="0" applyNumberFormat="1" applyFont="1" applyBorder="1" applyAlignment="1">
      <alignment horizontal="center" vertical="center"/>
    </xf>
    <xf numFmtId="41" fontId="7" fillId="0" borderId="10" xfId="0" applyNumberFormat="1" applyFont="1" applyBorder="1" applyAlignment="1">
      <alignment vertical="center"/>
    </xf>
    <xf numFmtId="41" fontId="7" fillId="0" borderId="10" xfId="0" applyNumberFormat="1" applyFont="1" applyBorder="1" applyAlignment="1">
      <alignment horizontal="left" vertical="center" wrapText="1"/>
    </xf>
    <xf numFmtId="41" fontId="2" fillId="0" borderId="33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41" fontId="2" fillId="0" borderId="8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3" fontId="2" fillId="3" borderId="9" xfId="0" applyNumberFormat="1" applyFont="1" applyFill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 vertical="center"/>
    </xf>
    <xf numFmtId="3" fontId="5" fillId="3" borderId="10" xfId="0" applyNumberFormat="1" applyFont="1" applyFill="1" applyBorder="1" applyAlignment="1">
      <alignment horizontal="center" vertical="center"/>
    </xf>
    <xf numFmtId="3" fontId="5" fillId="3" borderId="17" xfId="0" applyNumberFormat="1" applyFont="1" applyFill="1" applyBorder="1" applyAlignment="1">
      <alignment horizontal="center" vertical="center"/>
    </xf>
    <xf numFmtId="3" fontId="6" fillId="3" borderId="10" xfId="0" applyNumberFormat="1" applyFont="1" applyFill="1" applyBorder="1" applyAlignment="1">
      <alignment horizontal="center" vertical="center"/>
    </xf>
    <xf numFmtId="3" fontId="2" fillId="3" borderId="39" xfId="0" applyNumberFormat="1" applyFont="1" applyFill="1" applyBorder="1" applyAlignment="1">
      <alignment horizontal="center" vertical="center"/>
    </xf>
    <xf numFmtId="3" fontId="5" fillId="3" borderId="11" xfId="0" applyNumberFormat="1" applyFont="1" applyFill="1" applyBorder="1" applyAlignment="1">
      <alignment horizontal="center" vertical="center"/>
    </xf>
    <xf numFmtId="3" fontId="5" fillId="3" borderId="40" xfId="0" applyNumberFormat="1" applyFont="1" applyFill="1" applyBorder="1" applyAlignment="1">
      <alignment horizontal="center" vertical="center"/>
    </xf>
    <xf numFmtId="3" fontId="2" fillId="5" borderId="10" xfId="0" applyNumberFormat="1" applyFont="1" applyFill="1" applyBorder="1" applyAlignment="1">
      <alignment horizontal="center" vertical="center"/>
    </xf>
    <xf numFmtId="3" fontId="5" fillId="3" borderId="9" xfId="0" applyNumberFormat="1" applyFont="1" applyFill="1" applyBorder="1" applyAlignment="1">
      <alignment horizontal="center" vertical="center"/>
    </xf>
    <xf numFmtId="3" fontId="5" fillId="4" borderId="38" xfId="0" applyNumberFormat="1" applyFont="1" applyFill="1" applyBorder="1" applyAlignment="1">
      <alignment horizontal="center" vertical="center"/>
    </xf>
    <xf numFmtId="177" fontId="5" fillId="4" borderId="44" xfId="0" applyNumberFormat="1" applyFont="1" applyFill="1" applyBorder="1" applyAlignment="1">
      <alignment horizontal="center" vertical="center"/>
    </xf>
    <xf numFmtId="3" fontId="5" fillId="4" borderId="45" xfId="0" applyNumberFormat="1" applyFont="1" applyFill="1" applyBorder="1" applyAlignment="1">
      <alignment horizontal="center" vertical="center"/>
    </xf>
    <xf numFmtId="3" fontId="5" fillId="4" borderId="21" xfId="0" applyNumberFormat="1" applyFont="1" applyFill="1" applyBorder="1" applyAlignment="1">
      <alignment horizontal="center" vertical="center"/>
    </xf>
    <xf numFmtId="3" fontId="5" fillId="4" borderId="44" xfId="0" applyNumberFormat="1" applyFont="1" applyFill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176" fontId="2" fillId="5" borderId="10" xfId="0" applyNumberFormat="1" applyFont="1" applyFill="1" applyBorder="1" applyAlignment="1">
      <alignment horizontal="center" vertical="center"/>
    </xf>
    <xf numFmtId="41" fontId="2" fillId="5" borderId="10" xfId="0" applyNumberFormat="1" applyFont="1" applyFill="1" applyBorder="1" applyAlignment="1">
      <alignment horizontal="left" vertical="center"/>
    </xf>
    <xf numFmtId="41" fontId="2" fillId="5" borderId="10" xfId="0" applyNumberFormat="1" applyFont="1" applyFill="1" applyBorder="1" applyAlignment="1">
      <alignment vertical="center"/>
    </xf>
    <xf numFmtId="41" fontId="2" fillId="5" borderId="30" xfId="0" applyNumberFormat="1" applyFont="1" applyFill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41" fontId="5" fillId="0" borderId="30" xfId="0" applyNumberFormat="1" applyFont="1" applyBorder="1" applyAlignment="1">
      <alignment horizontal="center" vertical="center"/>
    </xf>
    <xf numFmtId="41" fontId="5" fillId="0" borderId="31" xfId="0" applyNumberFormat="1" applyFont="1" applyBorder="1" applyAlignment="1">
      <alignment horizontal="center" vertical="center"/>
    </xf>
    <xf numFmtId="41" fontId="5" fillId="0" borderId="17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5" fillId="0" borderId="16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41" fontId="5" fillId="0" borderId="33" xfId="0" applyNumberFormat="1" applyFont="1" applyBorder="1" applyAlignment="1">
      <alignment horizontal="center" vertical="center"/>
    </xf>
    <xf numFmtId="41" fontId="2" fillId="4" borderId="34" xfId="0" applyNumberFormat="1" applyFont="1" applyFill="1" applyBorder="1" applyAlignment="1">
      <alignment horizontal="center" vertical="center"/>
    </xf>
    <xf numFmtId="41" fontId="2" fillId="4" borderId="21" xfId="0" applyNumberFormat="1" applyFont="1" applyFill="1" applyBorder="1" applyAlignment="1">
      <alignment horizontal="center" vertical="center"/>
    </xf>
    <xf numFmtId="3" fontId="5" fillId="4" borderId="38" xfId="0" applyNumberFormat="1" applyFont="1" applyFill="1" applyBorder="1" applyAlignment="1">
      <alignment horizontal="center" vertical="center"/>
    </xf>
    <xf numFmtId="3" fontId="5" fillId="4" borderId="20" xfId="0" applyNumberFormat="1" applyFont="1" applyFill="1" applyBorder="1" applyAlignment="1">
      <alignment horizontal="center" vertical="center"/>
    </xf>
    <xf numFmtId="3" fontId="5" fillId="4" borderId="21" xfId="0" applyNumberFormat="1" applyFont="1" applyFill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41" fontId="5" fillId="0" borderId="22" xfId="0" applyNumberFormat="1" applyFont="1" applyBorder="1" applyAlignment="1">
      <alignment horizontal="center" vertical="center"/>
    </xf>
    <xf numFmtId="41" fontId="5" fillId="0" borderId="26" xfId="0" applyNumberFormat="1" applyFont="1" applyBorder="1" applyAlignment="1">
      <alignment horizontal="center" vertical="center"/>
    </xf>
    <xf numFmtId="41" fontId="5" fillId="0" borderId="9" xfId="0" applyNumberFormat="1" applyFont="1" applyBorder="1" applyAlignment="1">
      <alignment horizontal="center" vertical="center"/>
    </xf>
    <xf numFmtId="3" fontId="5" fillId="0" borderId="46" xfId="0" applyNumberFormat="1" applyFont="1" applyBorder="1" applyAlignment="1">
      <alignment horizontal="center" vertical="center"/>
    </xf>
    <xf numFmtId="3" fontId="5" fillId="0" borderId="47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41" fontId="5" fillId="0" borderId="29" xfId="0" applyNumberFormat="1" applyFont="1" applyBorder="1" applyAlignment="1">
      <alignment horizontal="center" vertical="center"/>
    </xf>
    <xf numFmtId="41" fontId="5" fillId="0" borderId="10" xfId="0" applyNumberFormat="1" applyFont="1" applyBorder="1" applyAlignment="1">
      <alignment horizontal="center" vertical="center"/>
    </xf>
    <xf numFmtId="41" fontId="5" fillId="0" borderId="32" xfId="0" applyNumberFormat="1" applyFont="1" applyBorder="1" applyAlignment="1">
      <alignment horizontal="center" vertical="center"/>
    </xf>
    <xf numFmtId="41" fontId="5" fillId="4" borderId="34" xfId="0" applyNumberFormat="1" applyFont="1" applyFill="1" applyBorder="1" applyAlignment="1">
      <alignment horizontal="center" vertical="center"/>
    </xf>
    <xf numFmtId="41" fontId="5" fillId="4" borderId="20" xfId="0" applyNumberFormat="1" applyFont="1" applyFill="1" applyBorder="1" applyAlignment="1">
      <alignment horizontal="center" vertical="center"/>
    </xf>
    <xf numFmtId="41" fontId="5" fillId="0" borderId="13" xfId="0" applyNumberFormat="1" applyFont="1" applyBorder="1" applyAlignment="1">
      <alignment horizontal="center" vertical="center"/>
    </xf>
    <xf numFmtId="41" fontId="2" fillId="0" borderId="23" xfId="0" applyNumberFormat="1" applyFont="1" applyBorder="1" applyAlignment="1">
      <alignment horizontal="center" vertical="center"/>
    </xf>
    <xf numFmtId="41" fontId="2" fillId="0" borderId="24" xfId="0" applyNumberFormat="1" applyFont="1" applyBorder="1" applyAlignment="1">
      <alignment horizontal="center" vertical="center"/>
    </xf>
    <xf numFmtId="41" fontId="2" fillId="0" borderId="25" xfId="0" applyNumberFormat="1" applyFont="1" applyBorder="1" applyAlignment="1">
      <alignment horizontal="center" vertical="center"/>
    </xf>
    <xf numFmtId="41" fontId="5" fillId="0" borderId="27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41" fontId="2" fillId="0" borderId="34" xfId="0" applyNumberFormat="1" applyFont="1" applyBorder="1" applyAlignment="1">
      <alignment horizontal="center" vertical="center"/>
    </xf>
    <xf numFmtId="41" fontId="2" fillId="0" borderId="21" xfId="0" applyNumberFormat="1" applyFont="1" applyBorder="1" applyAlignment="1">
      <alignment horizontal="center" vertical="center"/>
    </xf>
    <xf numFmtId="3" fontId="5" fillId="0" borderId="38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41" fontId="2" fillId="0" borderId="10" xfId="0" applyNumberFormat="1" applyFont="1" applyBorder="1" applyAlignment="1">
      <alignment horizontal="center" vertical="center"/>
    </xf>
    <xf numFmtId="41" fontId="5" fillId="0" borderId="11" xfId="0" applyNumberFormat="1" applyFont="1" applyBorder="1" applyAlignment="1">
      <alignment horizontal="center" vertical="center"/>
    </xf>
    <xf numFmtId="41" fontId="5" fillId="0" borderId="12" xfId="0" applyNumberFormat="1" applyFont="1" applyBorder="1" applyAlignment="1">
      <alignment horizontal="center" vertical="center"/>
    </xf>
    <xf numFmtId="41" fontId="5" fillId="0" borderId="14" xfId="0" applyNumberFormat="1" applyFont="1" applyBorder="1" applyAlignment="1">
      <alignment horizontal="center" vertical="center"/>
    </xf>
    <xf numFmtId="41" fontId="5" fillId="0" borderId="15" xfId="0" applyNumberFormat="1" applyFont="1" applyBorder="1" applyAlignment="1">
      <alignment horizontal="center" vertical="center"/>
    </xf>
    <xf numFmtId="41" fontId="5" fillId="0" borderId="16" xfId="0" applyNumberFormat="1" applyFont="1" applyBorder="1" applyAlignment="1">
      <alignment horizontal="center" vertical="center"/>
    </xf>
    <xf numFmtId="41" fontId="5" fillId="0" borderId="18" xfId="0" applyNumberFormat="1" applyFont="1" applyBorder="1" applyAlignment="1">
      <alignment horizontal="center" vertical="center"/>
    </xf>
    <xf numFmtId="41" fontId="5" fillId="0" borderId="19" xfId="0" applyNumberFormat="1" applyFont="1" applyBorder="1" applyAlignment="1">
      <alignment horizontal="center" vertical="center"/>
    </xf>
    <xf numFmtId="41" fontId="5" fillId="0" borderId="20" xfId="0" applyNumberFormat="1" applyFont="1" applyBorder="1" applyAlignment="1">
      <alignment horizontal="center" vertical="center"/>
    </xf>
    <xf numFmtId="41" fontId="2" fillId="0" borderId="10" xfId="0" applyNumberFormat="1" applyFont="1" applyBorder="1" applyAlignment="1">
      <alignment horizontal="center" vertical="center" wrapText="1"/>
    </xf>
    <xf numFmtId="41" fontId="2" fillId="5" borderId="10" xfId="0" applyNumberFormat="1" applyFont="1" applyFill="1" applyBorder="1" applyAlignment="1">
      <alignment horizontal="center" vertical="center"/>
    </xf>
    <xf numFmtId="177" fontId="2" fillId="2" borderId="4" xfId="0" applyNumberFormat="1" applyFont="1" applyFill="1" applyBorder="1" applyAlignment="1">
      <alignment horizontal="center" vertical="center" wrapText="1"/>
    </xf>
    <xf numFmtId="177" fontId="2" fillId="2" borderId="8" xfId="0" applyNumberFormat="1" applyFont="1" applyFill="1" applyBorder="1" applyAlignment="1">
      <alignment horizontal="center" vertical="center" wrapText="1"/>
    </xf>
    <xf numFmtId="41" fontId="2" fillId="0" borderId="9" xfId="0" applyNumberFormat="1" applyFont="1" applyBorder="1" applyAlignment="1">
      <alignment horizontal="center" vertical="center" wrapText="1"/>
    </xf>
    <xf numFmtId="41" fontId="3" fillId="0" borderId="0" xfId="0" applyNumberFormat="1" applyFont="1" applyAlignment="1">
      <alignment horizontal="center" vertical="center"/>
    </xf>
    <xf numFmtId="41" fontId="2" fillId="2" borderId="1" xfId="0" applyNumberFormat="1" applyFont="1" applyFill="1" applyBorder="1" applyAlignment="1">
      <alignment horizontal="center" vertical="center"/>
    </xf>
    <xf numFmtId="41" fontId="2" fillId="2" borderId="5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41" fontId="2" fillId="2" borderId="2" xfId="0" applyNumberFormat="1" applyFont="1" applyFill="1" applyBorder="1" applyAlignment="1">
      <alignment horizontal="center" vertical="center"/>
    </xf>
    <xf numFmtId="41" fontId="2" fillId="2" borderId="6" xfId="0" applyNumberFormat="1" applyFont="1" applyFill="1" applyBorder="1" applyAlignment="1">
      <alignment horizontal="center" vertical="center"/>
    </xf>
    <xf numFmtId="41" fontId="2" fillId="2" borderId="3" xfId="0" applyNumberFormat="1" applyFont="1" applyFill="1" applyBorder="1" applyAlignment="1">
      <alignment horizontal="center" vertical="center"/>
    </xf>
    <xf numFmtId="41" fontId="2" fillId="2" borderId="7" xfId="0" applyNumberFormat="1" applyFont="1" applyFill="1" applyBorder="1" applyAlignment="1">
      <alignment horizontal="center" vertical="center"/>
    </xf>
    <xf numFmtId="41" fontId="2" fillId="2" borderId="3" xfId="0" applyNumberFormat="1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7" fontId="2" fillId="2" borderId="6" xfId="0" applyNumberFormat="1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177" fontId="2" fillId="3" borderId="6" xfId="0" applyNumberFormat="1" applyFont="1" applyFill="1" applyBorder="1" applyAlignment="1">
      <alignment horizontal="center" vertical="center" wrapText="1"/>
    </xf>
    <xf numFmtId="41" fontId="2" fillId="0" borderId="41" xfId="0" applyNumberFormat="1" applyFont="1" applyBorder="1" applyAlignment="1">
      <alignment horizontal="center" vertical="center"/>
    </xf>
    <xf numFmtId="41" fontId="2" fillId="0" borderId="42" xfId="0" applyNumberFormat="1" applyFont="1" applyBorder="1" applyAlignment="1">
      <alignment horizontal="center" vertical="center"/>
    </xf>
    <xf numFmtId="41" fontId="2" fillId="0" borderId="43" xfId="0" applyNumberFormat="1" applyFont="1" applyBorder="1" applyAlignment="1">
      <alignment horizontal="center" vertical="center"/>
    </xf>
    <xf numFmtId="41" fontId="2" fillId="0" borderId="29" xfId="0" applyNumberFormat="1" applyFont="1" applyBorder="1" applyAlignment="1">
      <alignment horizontal="center" vertical="center" wrapText="1"/>
    </xf>
    <xf numFmtId="41" fontId="2" fillId="0" borderId="29" xfId="0" applyNumberFormat="1" applyFont="1" applyBorder="1" applyAlignment="1">
      <alignment horizontal="center" vertical="center"/>
    </xf>
    <xf numFmtId="41" fontId="5" fillId="0" borderId="37" xfId="0" applyNumberFormat="1" applyFont="1" applyBorder="1" applyAlignment="1">
      <alignment horizontal="center" vertical="center"/>
    </xf>
    <xf numFmtId="41" fontId="5" fillId="0" borderId="35" xfId="0" applyNumberFormat="1" applyFont="1" applyBorder="1" applyAlignment="1">
      <alignment horizontal="center" vertical="center"/>
    </xf>
    <xf numFmtId="41" fontId="5" fillId="0" borderId="48" xfId="0" applyNumberFormat="1" applyFont="1" applyBorder="1" applyAlignment="1">
      <alignment horizontal="center" vertical="center"/>
    </xf>
    <xf numFmtId="41" fontId="2" fillId="0" borderId="31" xfId="0" applyNumberFormat="1" applyFont="1" applyBorder="1" applyAlignment="1">
      <alignment horizontal="center" vertical="center" wrapText="1"/>
    </xf>
    <xf numFmtId="41" fontId="2" fillId="0" borderId="36" xfId="0" applyNumberFormat="1" applyFont="1" applyBorder="1" applyAlignment="1">
      <alignment horizontal="center" vertical="center" wrapText="1"/>
    </xf>
    <xf numFmtId="41" fontId="2" fillId="0" borderId="26" xfId="0" applyNumberFormat="1" applyFont="1" applyBorder="1" applyAlignment="1">
      <alignment horizontal="center" vertical="center" wrapText="1"/>
    </xf>
    <xf numFmtId="41" fontId="2" fillId="0" borderId="31" xfId="0" applyNumberFormat="1" applyFont="1" applyBorder="1" applyAlignment="1">
      <alignment horizontal="center" vertical="center"/>
    </xf>
    <xf numFmtId="41" fontId="2" fillId="0" borderId="26" xfId="0" applyNumberFormat="1" applyFont="1" applyBorder="1" applyAlignment="1">
      <alignment horizontal="center" vertical="center"/>
    </xf>
    <xf numFmtId="41" fontId="2" fillId="0" borderId="36" xfId="0" applyNumberFormat="1" applyFont="1" applyBorder="1" applyAlignment="1">
      <alignment horizontal="center" vertical="center"/>
    </xf>
    <xf numFmtId="3" fontId="2" fillId="4" borderId="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136"/>
  <sheetViews>
    <sheetView tabSelected="1" zoomScaleNormal="100" workbookViewId="0">
      <pane xSplit="8" ySplit="7" topLeftCell="I125" activePane="bottomRight" state="frozen"/>
      <selection pane="topRight"/>
      <selection pane="bottomLeft"/>
      <selection pane="bottomRight" activeCell="P136" sqref="P136"/>
    </sheetView>
  </sheetViews>
  <sheetFormatPr defaultColWidth="9" defaultRowHeight="20.100000000000001" customHeight="1" x14ac:dyDescent="0.3"/>
  <cols>
    <col min="1" max="1" width="10.625" style="1" customWidth="1"/>
    <col min="2" max="2" width="10.625" style="2" customWidth="1"/>
    <col min="3" max="3" width="40.625" style="3" customWidth="1"/>
    <col min="4" max="7" width="10.625" style="3" hidden="1" customWidth="1"/>
    <col min="8" max="8" width="10.625" style="4" hidden="1" customWidth="1"/>
    <col min="9" max="9" width="10.625" style="5" customWidth="1"/>
    <col min="10" max="15" width="10.625" style="6" customWidth="1"/>
    <col min="16" max="16" width="40.625" style="6" customWidth="1"/>
    <col min="17" max="227" width="9" style="7" customWidth="1"/>
    <col min="228" max="228" width="9.625" style="7" customWidth="1"/>
    <col min="229" max="229" width="7.625" style="7" customWidth="1"/>
    <col min="230" max="230" width="18.5" style="7" customWidth="1"/>
    <col min="231" max="231" width="6.625" style="7" customWidth="1"/>
    <col min="232" max="232" width="12.25" style="7" customWidth="1"/>
    <col min="233" max="233" width="8" style="7" customWidth="1"/>
    <col min="234" max="234" width="10.625" style="7" customWidth="1"/>
    <col min="235" max="235" width="8" style="7" customWidth="1"/>
    <col min="236" max="236" width="11.375" style="7" customWidth="1"/>
    <col min="237" max="237" width="11.5" style="7" customWidth="1"/>
    <col min="238" max="238" width="8" style="7" customWidth="1"/>
    <col min="239" max="239" width="11.25" style="7" customWidth="1"/>
    <col min="240" max="240" width="8" style="7" customWidth="1"/>
    <col min="241" max="241" width="10.875" style="7" customWidth="1"/>
    <col min="242" max="242" width="12.25" style="7" customWidth="1"/>
    <col min="243" max="243" width="8" style="7" customWidth="1"/>
    <col min="244" max="244" width="11.875" style="7" customWidth="1"/>
    <col min="245" max="245" width="8" style="7" customWidth="1"/>
    <col min="246" max="246" width="11" style="7" customWidth="1"/>
    <col min="247" max="247" width="12.25" style="7" customWidth="1"/>
    <col min="248" max="248" width="8" style="7" customWidth="1"/>
    <col min="249" max="249" width="11.875" style="7" customWidth="1"/>
    <col min="250" max="250" width="8" style="7" customWidth="1"/>
    <col min="251" max="251" width="12.25" style="7" customWidth="1"/>
    <col min="252" max="252" width="14.25" style="7" customWidth="1"/>
    <col min="253" max="253" width="8" style="7" customWidth="1"/>
    <col min="254" max="254" width="14" style="7" customWidth="1"/>
    <col min="255" max="255" width="8.875" style="7" customWidth="1"/>
    <col min="256" max="256" width="15.25" style="7" customWidth="1"/>
    <col min="257" max="257" width="16.375" style="7" customWidth="1"/>
    <col min="258" max="258" width="8.875" style="7" customWidth="1"/>
    <col min="259" max="259" width="9.625" style="7" customWidth="1"/>
    <col min="260" max="260" width="8.75" style="7" customWidth="1"/>
    <col min="261" max="261" width="12.375" style="7" customWidth="1"/>
    <col min="262" max="262" width="8.75" style="7" customWidth="1"/>
    <col min="263" max="263" width="11.5" style="7" customWidth="1"/>
    <col min="264" max="264" width="6.625" style="7" customWidth="1"/>
    <col min="265" max="265" width="11.25" style="7" customWidth="1"/>
    <col min="266" max="483" width="9" style="7" customWidth="1"/>
    <col min="484" max="484" width="9.625" style="7" customWidth="1"/>
    <col min="485" max="485" width="7.625" style="7" customWidth="1"/>
    <col min="486" max="486" width="18.5" style="7" customWidth="1"/>
    <col min="487" max="487" width="6.625" style="7" customWidth="1"/>
    <col min="488" max="488" width="12.25" style="7" customWidth="1"/>
    <col min="489" max="489" width="8" style="7" customWidth="1"/>
    <col min="490" max="490" width="10.625" style="7" customWidth="1"/>
    <col min="491" max="491" width="8" style="7" customWidth="1"/>
    <col min="492" max="492" width="11.375" style="7" customWidth="1"/>
    <col min="493" max="493" width="11.5" style="7" customWidth="1"/>
    <col min="494" max="494" width="8" style="7" customWidth="1"/>
    <col min="495" max="495" width="11.25" style="7" customWidth="1"/>
    <col min="496" max="496" width="8" style="7" customWidth="1"/>
    <col min="497" max="497" width="10.875" style="7" customWidth="1"/>
    <col min="498" max="498" width="12.25" style="7" customWidth="1"/>
    <col min="499" max="499" width="8" style="7" customWidth="1"/>
    <col min="500" max="500" width="11.875" style="7" customWidth="1"/>
    <col min="501" max="501" width="8" style="7" customWidth="1"/>
    <col min="502" max="502" width="11" style="7" customWidth="1"/>
    <col min="503" max="503" width="12.25" style="7" customWidth="1"/>
    <col min="504" max="504" width="8" style="7" customWidth="1"/>
    <col min="505" max="505" width="11.875" style="7" customWidth="1"/>
    <col min="506" max="506" width="8" style="7" customWidth="1"/>
    <col min="507" max="507" width="12.25" style="7" customWidth="1"/>
    <col min="508" max="508" width="14.25" style="7" customWidth="1"/>
    <col min="509" max="509" width="8" style="7" customWidth="1"/>
    <col min="510" max="510" width="14" style="7" customWidth="1"/>
    <col min="511" max="511" width="8.875" style="7" customWidth="1"/>
    <col min="512" max="512" width="15.25" style="7" customWidth="1"/>
    <col min="513" max="513" width="16.375" style="7" customWidth="1"/>
    <col min="514" max="514" width="8.875" style="7" customWidth="1"/>
    <col min="515" max="515" width="9.625" style="7" customWidth="1"/>
    <col min="516" max="516" width="8.75" style="7" customWidth="1"/>
    <col min="517" max="517" width="12.375" style="7" customWidth="1"/>
    <col min="518" max="518" width="8.75" style="7" customWidth="1"/>
    <col min="519" max="519" width="11.5" style="7" customWidth="1"/>
    <col min="520" max="520" width="6.625" style="7" customWidth="1"/>
    <col min="521" max="521" width="11.25" style="7" customWidth="1"/>
    <col min="522" max="739" width="9" style="7" customWidth="1"/>
    <col min="740" max="740" width="9.625" style="7" customWidth="1"/>
    <col min="741" max="741" width="7.625" style="7" customWidth="1"/>
    <col min="742" max="742" width="18.5" style="7" customWidth="1"/>
    <col min="743" max="743" width="6.625" style="7" customWidth="1"/>
    <col min="744" max="744" width="12.25" style="7" customWidth="1"/>
    <col min="745" max="745" width="8" style="7" customWidth="1"/>
    <col min="746" max="746" width="10.625" style="7" customWidth="1"/>
    <col min="747" max="747" width="8" style="7" customWidth="1"/>
    <col min="748" max="748" width="11.375" style="7" customWidth="1"/>
    <col min="749" max="749" width="11.5" style="7" customWidth="1"/>
    <col min="750" max="750" width="8" style="7" customWidth="1"/>
    <col min="751" max="751" width="11.25" style="7" customWidth="1"/>
    <col min="752" max="752" width="8" style="7" customWidth="1"/>
    <col min="753" max="753" width="10.875" style="7" customWidth="1"/>
    <col min="754" max="754" width="12.25" style="7" customWidth="1"/>
    <col min="755" max="755" width="8" style="7" customWidth="1"/>
    <col min="756" max="756" width="11.875" style="7" customWidth="1"/>
    <col min="757" max="757" width="8" style="7" customWidth="1"/>
    <col min="758" max="758" width="11" style="7" customWidth="1"/>
    <col min="759" max="759" width="12.25" style="7" customWidth="1"/>
    <col min="760" max="760" width="8" style="7" customWidth="1"/>
    <col min="761" max="761" width="11.875" style="7" customWidth="1"/>
    <col min="762" max="762" width="8" style="7" customWidth="1"/>
    <col min="763" max="763" width="12.25" style="7" customWidth="1"/>
    <col min="764" max="764" width="14.25" style="7" customWidth="1"/>
    <col min="765" max="765" width="8" style="7" customWidth="1"/>
    <col min="766" max="766" width="14" style="7" customWidth="1"/>
    <col min="767" max="767" width="8.875" style="7" customWidth="1"/>
    <col min="768" max="768" width="15.25" style="7" customWidth="1"/>
    <col min="769" max="769" width="16.375" style="7" customWidth="1"/>
    <col min="770" max="770" width="8.875" style="7" customWidth="1"/>
    <col min="771" max="771" width="9.625" style="7" customWidth="1"/>
    <col min="772" max="772" width="8.75" style="7" customWidth="1"/>
    <col min="773" max="773" width="12.375" style="7" customWidth="1"/>
    <col min="774" max="774" width="8.75" style="7" customWidth="1"/>
    <col min="775" max="775" width="11.5" style="7" customWidth="1"/>
    <col min="776" max="776" width="6.625" style="7" customWidth="1"/>
    <col min="777" max="777" width="11.25" style="7" customWidth="1"/>
    <col min="778" max="995" width="9" style="7" customWidth="1"/>
    <col min="996" max="996" width="9.625" style="7" customWidth="1"/>
    <col min="997" max="997" width="7.625" style="7" customWidth="1"/>
    <col min="998" max="998" width="18.5" style="7" customWidth="1"/>
    <col min="999" max="999" width="6.625" style="7" customWidth="1"/>
    <col min="1000" max="1000" width="12.25" style="7" customWidth="1"/>
    <col min="1001" max="1001" width="8" style="7" customWidth="1"/>
    <col min="1002" max="1002" width="10.625" style="7" customWidth="1"/>
    <col min="1003" max="1003" width="8" style="7" customWidth="1"/>
    <col min="1004" max="1004" width="11.375" style="7" customWidth="1"/>
    <col min="1005" max="1005" width="11.5" style="7" customWidth="1"/>
    <col min="1006" max="1006" width="8" style="7" customWidth="1"/>
    <col min="1007" max="1007" width="11.25" style="7" customWidth="1"/>
    <col min="1008" max="1008" width="8" style="7" customWidth="1"/>
    <col min="1009" max="1009" width="10.875" style="7" customWidth="1"/>
    <col min="1010" max="1010" width="12.25" style="7" customWidth="1"/>
    <col min="1011" max="1011" width="8" style="7" customWidth="1"/>
    <col min="1012" max="1012" width="11.875" style="7" customWidth="1"/>
    <col min="1013" max="1013" width="8" style="7" customWidth="1"/>
    <col min="1014" max="1014" width="11" style="7" customWidth="1"/>
    <col min="1015" max="1015" width="12.25" style="7" customWidth="1"/>
    <col min="1016" max="1016" width="8" style="7" customWidth="1"/>
    <col min="1017" max="1017" width="11.875" style="7" customWidth="1"/>
    <col min="1018" max="1018" width="8" style="7" customWidth="1"/>
    <col min="1019" max="1019" width="12.25" style="7" customWidth="1"/>
    <col min="1020" max="1020" width="14.25" style="7" customWidth="1"/>
    <col min="1021" max="1021" width="8" style="7" customWidth="1"/>
    <col min="1022" max="1022" width="14" style="7" customWidth="1"/>
    <col min="1023" max="1023" width="8.875" style="7" customWidth="1"/>
    <col min="1024" max="1024" width="15.25" style="7" customWidth="1"/>
    <col min="1025" max="1025" width="16.375" style="7" customWidth="1"/>
    <col min="1026" max="1026" width="8.875" style="7" customWidth="1"/>
    <col min="1027" max="1027" width="9.625" style="7" customWidth="1"/>
    <col min="1028" max="1028" width="8.75" style="7" customWidth="1"/>
    <col min="1029" max="1029" width="12.375" style="7" customWidth="1"/>
    <col min="1030" max="1030" width="8.75" style="7" customWidth="1"/>
    <col min="1031" max="1031" width="11.5" style="7" customWidth="1"/>
    <col min="1032" max="1032" width="6.625" style="7" customWidth="1"/>
    <col min="1033" max="1033" width="11.25" style="7" customWidth="1"/>
    <col min="1034" max="1251" width="9" style="7" customWidth="1"/>
    <col min="1252" max="1252" width="9.625" style="7" customWidth="1"/>
    <col min="1253" max="1253" width="7.625" style="7" customWidth="1"/>
    <col min="1254" max="1254" width="18.5" style="7" customWidth="1"/>
    <col min="1255" max="1255" width="6.625" style="7" customWidth="1"/>
    <col min="1256" max="1256" width="12.25" style="7" customWidth="1"/>
    <col min="1257" max="1257" width="8" style="7" customWidth="1"/>
    <col min="1258" max="1258" width="10.625" style="7" customWidth="1"/>
    <col min="1259" max="1259" width="8" style="7" customWidth="1"/>
    <col min="1260" max="1260" width="11.375" style="7" customWidth="1"/>
    <col min="1261" max="1261" width="11.5" style="7" customWidth="1"/>
    <col min="1262" max="1262" width="8" style="7" customWidth="1"/>
    <col min="1263" max="1263" width="11.25" style="7" customWidth="1"/>
    <col min="1264" max="1264" width="8" style="7" customWidth="1"/>
    <col min="1265" max="1265" width="10.875" style="7" customWidth="1"/>
    <col min="1266" max="1266" width="12.25" style="7" customWidth="1"/>
    <col min="1267" max="1267" width="8" style="7" customWidth="1"/>
    <col min="1268" max="1268" width="11.875" style="7" customWidth="1"/>
    <col min="1269" max="1269" width="8" style="7" customWidth="1"/>
    <col min="1270" max="1270" width="11" style="7" customWidth="1"/>
    <col min="1271" max="1271" width="12.25" style="7" customWidth="1"/>
    <col min="1272" max="1272" width="8" style="7" customWidth="1"/>
    <col min="1273" max="1273" width="11.875" style="7" customWidth="1"/>
    <col min="1274" max="1274" width="8" style="7" customWidth="1"/>
    <col min="1275" max="1275" width="12.25" style="7" customWidth="1"/>
    <col min="1276" max="1276" width="14.25" style="7" customWidth="1"/>
    <col min="1277" max="1277" width="8" style="7" customWidth="1"/>
    <col min="1278" max="1278" width="14" style="7" customWidth="1"/>
    <col min="1279" max="1279" width="8.875" style="7" customWidth="1"/>
    <col min="1280" max="1280" width="15.25" style="7" customWidth="1"/>
    <col min="1281" max="1281" width="16.375" style="7" customWidth="1"/>
    <col min="1282" max="1282" width="8.875" style="7" customWidth="1"/>
    <col min="1283" max="1283" width="9.625" style="7" customWidth="1"/>
    <col min="1284" max="1284" width="8.75" style="7" customWidth="1"/>
    <col min="1285" max="1285" width="12.375" style="7" customWidth="1"/>
    <col min="1286" max="1286" width="8.75" style="7" customWidth="1"/>
    <col min="1287" max="1287" width="11.5" style="7" customWidth="1"/>
    <col min="1288" max="1288" width="6.625" style="7" customWidth="1"/>
    <col min="1289" max="1289" width="11.25" style="7" customWidth="1"/>
    <col min="1290" max="1507" width="9" style="7" customWidth="1"/>
    <col min="1508" max="1508" width="9.625" style="7" customWidth="1"/>
    <col min="1509" max="1509" width="7.625" style="7" customWidth="1"/>
    <col min="1510" max="1510" width="18.5" style="7" customWidth="1"/>
    <col min="1511" max="1511" width="6.625" style="7" customWidth="1"/>
    <col min="1512" max="1512" width="12.25" style="7" customWidth="1"/>
    <col min="1513" max="1513" width="8" style="7" customWidth="1"/>
    <col min="1514" max="1514" width="10.625" style="7" customWidth="1"/>
    <col min="1515" max="1515" width="8" style="7" customWidth="1"/>
    <col min="1516" max="1516" width="11.375" style="7" customWidth="1"/>
    <col min="1517" max="1517" width="11.5" style="7" customWidth="1"/>
    <col min="1518" max="1518" width="8" style="7" customWidth="1"/>
    <col min="1519" max="1519" width="11.25" style="7" customWidth="1"/>
    <col min="1520" max="1520" width="8" style="7" customWidth="1"/>
    <col min="1521" max="1521" width="10.875" style="7" customWidth="1"/>
    <col min="1522" max="1522" width="12.25" style="7" customWidth="1"/>
    <col min="1523" max="1523" width="8" style="7" customWidth="1"/>
    <col min="1524" max="1524" width="11.875" style="7" customWidth="1"/>
    <col min="1525" max="1525" width="8" style="7" customWidth="1"/>
    <col min="1526" max="1526" width="11" style="7" customWidth="1"/>
    <col min="1527" max="1527" width="12.25" style="7" customWidth="1"/>
    <col min="1528" max="1528" width="8" style="7" customWidth="1"/>
    <col min="1529" max="1529" width="11.875" style="7" customWidth="1"/>
    <col min="1530" max="1530" width="8" style="7" customWidth="1"/>
    <col min="1531" max="1531" width="12.25" style="7" customWidth="1"/>
    <col min="1532" max="1532" width="14.25" style="7" customWidth="1"/>
    <col min="1533" max="1533" width="8" style="7" customWidth="1"/>
    <col min="1534" max="1534" width="14" style="7" customWidth="1"/>
    <col min="1535" max="1535" width="8.875" style="7" customWidth="1"/>
    <col min="1536" max="1536" width="15.25" style="7" customWidth="1"/>
    <col min="1537" max="1537" width="16.375" style="7" customWidth="1"/>
    <col min="1538" max="1538" width="8.875" style="7" customWidth="1"/>
    <col min="1539" max="1539" width="9.625" style="7" customWidth="1"/>
    <col min="1540" max="1540" width="8.75" style="7" customWidth="1"/>
    <col min="1541" max="1541" width="12.375" style="7" customWidth="1"/>
    <col min="1542" max="1542" width="8.75" style="7" customWidth="1"/>
    <col min="1543" max="1543" width="11.5" style="7" customWidth="1"/>
    <col min="1544" max="1544" width="6.625" style="7" customWidth="1"/>
    <col min="1545" max="1545" width="11.25" style="7" customWidth="1"/>
    <col min="1546" max="1763" width="9" style="7" customWidth="1"/>
    <col min="1764" max="1764" width="9.625" style="7" customWidth="1"/>
    <col min="1765" max="1765" width="7.625" style="7" customWidth="1"/>
    <col min="1766" max="1766" width="18.5" style="7" customWidth="1"/>
    <col min="1767" max="1767" width="6.625" style="7" customWidth="1"/>
    <col min="1768" max="1768" width="12.25" style="7" customWidth="1"/>
    <col min="1769" max="1769" width="8" style="7" customWidth="1"/>
    <col min="1770" max="1770" width="10.625" style="7" customWidth="1"/>
    <col min="1771" max="1771" width="8" style="7" customWidth="1"/>
    <col min="1772" max="1772" width="11.375" style="7" customWidth="1"/>
    <col min="1773" max="1773" width="11.5" style="7" customWidth="1"/>
    <col min="1774" max="1774" width="8" style="7" customWidth="1"/>
    <col min="1775" max="1775" width="11.25" style="7" customWidth="1"/>
    <col min="1776" max="1776" width="8" style="7" customWidth="1"/>
    <col min="1777" max="1777" width="10.875" style="7" customWidth="1"/>
    <col min="1778" max="1778" width="12.25" style="7" customWidth="1"/>
    <col min="1779" max="1779" width="8" style="7" customWidth="1"/>
    <col min="1780" max="1780" width="11.875" style="7" customWidth="1"/>
    <col min="1781" max="1781" width="8" style="7" customWidth="1"/>
    <col min="1782" max="1782" width="11" style="7" customWidth="1"/>
    <col min="1783" max="1783" width="12.25" style="7" customWidth="1"/>
    <col min="1784" max="1784" width="8" style="7" customWidth="1"/>
    <col min="1785" max="1785" width="11.875" style="7" customWidth="1"/>
    <col min="1786" max="1786" width="8" style="7" customWidth="1"/>
    <col min="1787" max="1787" width="12.25" style="7" customWidth="1"/>
    <col min="1788" max="1788" width="14.25" style="7" customWidth="1"/>
    <col min="1789" max="1789" width="8" style="7" customWidth="1"/>
    <col min="1790" max="1790" width="14" style="7" customWidth="1"/>
    <col min="1791" max="1791" width="8.875" style="7" customWidth="1"/>
    <col min="1792" max="1792" width="15.25" style="7" customWidth="1"/>
    <col min="1793" max="1793" width="16.375" style="7" customWidth="1"/>
    <col min="1794" max="1794" width="8.875" style="7" customWidth="1"/>
    <col min="1795" max="1795" width="9.625" style="7" customWidth="1"/>
    <col min="1796" max="1796" width="8.75" style="7" customWidth="1"/>
    <col min="1797" max="1797" width="12.375" style="7" customWidth="1"/>
    <col min="1798" max="1798" width="8.75" style="7" customWidth="1"/>
    <col min="1799" max="1799" width="11.5" style="7" customWidth="1"/>
    <col min="1800" max="1800" width="6.625" style="7" customWidth="1"/>
    <col min="1801" max="1801" width="11.25" style="7" customWidth="1"/>
    <col min="1802" max="2019" width="9" style="7" customWidth="1"/>
    <col min="2020" max="2020" width="9.625" style="7" customWidth="1"/>
    <col min="2021" max="2021" width="7.625" style="7" customWidth="1"/>
    <col min="2022" max="2022" width="18.5" style="7" customWidth="1"/>
    <col min="2023" max="2023" width="6.625" style="7" customWidth="1"/>
    <col min="2024" max="2024" width="12.25" style="7" customWidth="1"/>
    <col min="2025" max="2025" width="8" style="7" customWidth="1"/>
    <col min="2026" max="2026" width="10.625" style="7" customWidth="1"/>
    <col min="2027" max="2027" width="8" style="7" customWidth="1"/>
    <col min="2028" max="2028" width="11.375" style="7" customWidth="1"/>
    <col min="2029" max="2029" width="11.5" style="7" customWidth="1"/>
    <col min="2030" max="2030" width="8" style="7" customWidth="1"/>
    <col min="2031" max="2031" width="11.25" style="7" customWidth="1"/>
    <col min="2032" max="2032" width="8" style="7" customWidth="1"/>
    <col min="2033" max="2033" width="10.875" style="7" customWidth="1"/>
    <col min="2034" max="2034" width="12.25" style="7" customWidth="1"/>
    <col min="2035" max="2035" width="8" style="7" customWidth="1"/>
    <col min="2036" max="2036" width="11.875" style="7" customWidth="1"/>
    <col min="2037" max="2037" width="8" style="7" customWidth="1"/>
    <col min="2038" max="2038" width="11" style="7" customWidth="1"/>
    <col min="2039" max="2039" width="12.25" style="7" customWidth="1"/>
    <col min="2040" max="2040" width="8" style="7" customWidth="1"/>
    <col min="2041" max="2041" width="11.875" style="7" customWidth="1"/>
    <col min="2042" max="2042" width="8" style="7" customWidth="1"/>
    <col min="2043" max="2043" width="12.25" style="7" customWidth="1"/>
    <col min="2044" max="2044" width="14.25" style="7" customWidth="1"/>
    <col min="2045" max="2045" width="8" style="7" customWidth="1"/>
    <col min="2046" max="2046" width="14" style="7" customWidth="1"/>
    <col min="2047" max="2047" width="8.875" style="7" customWidth="1"/>
    <col min="2048" max="2048" width="15.25" style="7" customWidth="1"/>
    <col min="2049" max="2049" width="16.375" style="7" customWidth="1"/>
    <col min="2050" max="2050" width="8.875" style="7" customWidth="1"/>
    <col min="2051" max="2051" width="9.625" style="7" customWidth="1"/>
    <col min="2052" max="2052" width="8.75" style="7" customWidth="1"/>
    <col min="2053" max="2053" width="12.375" style="7" customWidth="1"/>
    <col min="2054" max="2054" width="8.75" style="7" customWidth="1"/>
    <col min="2055" max="2055" width="11.5" style="7" customWidth="1"/>
    <col min="2056" max="2056" width="6.625" style="7" customWidth="1"/>
    <col min="2057" max="2057" width="11.25" style="7" customWidth="1"/>
    <col min="2058" max="2275" width="9" style="7" customWidth="1"/>
    <col min="2276" max="2276" width="9.625" style="7" customWidth="1"/>
    <col min="2277" max="2277" width="7.625" style="7" customWidth="1"/>
    <col min="2278" max="2278" width="18.5" style="7" customWidth="1"/>
    <col min="2279" max="2279" width="6.625" style="7" customWidth="1"/>
    <col min="2280" max="2280" width="12.25" style="7" customWidth="1"/>
    <col min="2281" max="2281" width="8" style="7" customWidth="1"/>
    <col min="2282" max="2282" width="10.625" style="7" customWidth="1"/>
    <col min="2283" max="2283" width="8" style="7" customWidth="1"/>
    <col min="2284" max="2284" width="11.375" style="7" customWidth="1"/>
    <col min="2285" max="2285" width="11.5" style="7" customWidth="1"/>
    <col min="2286" max="2286" width="8" style="7" customWidth="1"/>
    <col min="2287" max="2287" width="11.25" style="7" customWidth="1"/>
    <col min="2288" max="2288" width="8" style="7" customWidth="1"/>
    <col min="2289" max="2289" width="10.875" style="7" customWidth="1"/>
    <col min="2290" max="2290" width="12.25" style="7" customWidth="1"/>
    <col min="2291" max="2291" width="8" style="7" customWidth="1"/>
    <col min="2292" max="2292" width="11.875" style="7" customWidth="1"/>
    <col min="2293" max="2293" width="8" style="7" customWidth="1"/>
    <col min="2294" max="2294" width="11" style="7" customWidth="1"/>
    <col min="2295" max="2295" width="12.25" style="7" customWidth="1"/>
    <col min="2296" max="2296" width="8" style="7" customWidth="1"/>
    <col min="2297" max="2297" width="11.875" style="7" customWidth="1"/>
    <col min="2298" max="2298" width="8" style="7" customWidth="1"/>
    <col min="2299" max="2299" width="12.25" style="7" customWidth="1"/>
    <col min="2300" max="2300" width="14.25" style="7" customWidth="1"/>
    <col min="2301" max="2301" width="8" style="7" customWidth="1"/>
    <col min="2302" max="2302" width="14" style="7" customWidth="1"/>
    <col min="2303" max="2303" width="8.875" style="7" customWidth="1"/>
    <col min="2304" max="2304" width="15.25" style="7" customWidth="1"/>
    <col min="2305" max="2305" width="16.375" style="7" customWidth="1"/>
    <col min="2306" max="2306" width="8.875" style="7" customWidth="1"/>
    <col min="2307" max="2307" width="9.625" style="7" customWidth="1"/>
    <col min="2308" max="2308" width="8.75" style="7" customWidth="1"/>
    <col min="2309" max="2309" width="12.375" style="7" customWidth="1"/>
    <col min="2310" max="2310" width="8.75" style="7" customWidth="1"/>
    <col min="2311" max="2311" width="11.5" style="7" customWidth="1"/>
    <col min="2312" max="2312" width="6.625" style="7" customWidth="1"/>
    <col min="2313" max="2313" width="11.25" style="7" customWidth="1"/>
    <col min="2314" max="2531" width="9" style="7" customWidth="1"/>
    <col min="2532" max="2532" width="9.625" style="7" customWidth="1"/>
    <col min="2533" max="2533" width="7.625" style="7" customWidth="1"/>
    <col min="2534" max="2534" width="18.5" style="7" customWidth="1"/>
    <col min="2535" max="2535" width="6.625" style="7" customWidth="1"/>
    <col min="2536" max="2536" width="12.25" style="7" customWidth="1"/>
    <col min="2537" max="2537" width="8" style="7" customWidth="1"/>
    <col min="2538" max="2538" width="10.625" style="7" customWidth="1"/>
    <col min="2539" max="2539" width="8" style="7" customWidth="1"/>
    <col min="2540" max="2540" width="11.375" style="7" customWidth="1"/>
    <col min="2541" max="2541" width="11.5" style="7" customWidth="1"/>
    <col min="2542" max="2542" width="8" style="7" customWidth="1"/>
    <col min="2543" max="2543" width="11.25" style="7" customWidth="1"/>
    <col min="2544" max="2544" width="8" style="7" customWidth="1"/>
    <col min="2545" max="2545" width="10.875" style="7" customWidth="1"/>
    <col min="2546" max="2546" width="12.25" style="7" customWidth="1"/>
    <col min="2547" max="2547" width="8" style="7" customWidth="1"/>
    <col min="2548" max="2548" width="11.875" style="7" customWidth="1"/>
    <col min="2549" max="2549" width="8" style="7" customWidth="1"/>
    <col min="2550" max="2550" width="11" style="7" customWidth="1"/>
    <col min="2551" max="2551" width="12.25" style="7" customWidth="1"/>
    <col min="2552" max="2552" width="8" style="7" customWidth="1"/>
    <col min="2553" max="2553" width="11.875" style="7" customWidth="1"/>
    <col min="2554" max="2554" width="8" style="7" customWidth="1"/>
    <col min="2555" max="2555" width="12.25" style="7" customWidth="1"/>
    <col min="2556" max="2556" width="14.25" style="7" customWidth="1"/>
    <col min="2557" max="2557" width="8" style="7" customWidth="1"/>
    <col min="2558" max="2558" width="14" style="7" customWidth="1"/>
    <col min="2559" max="2559" width="8.875" style="7" customWidth="1"/>
    <col min="2560" max="2560" width="15.25" style="7" customWidth="1"/>
    <col min="2561" max="2561" width="16.375" style="7" customWidth="1"/>
    <col min="2562" max="2562" width="8.875" style="7" customWidth="1"/>
    <col min="2563" max="2563" width="9.625" style="7" customWidth="1"/>
    <col min="2564" max="2564" width="8.75" style="7" customWidth="1"/>
    <col min="2565" max="2565" width="12.375" style="7" customWidth="1"/>
    <col min="2566" max="2566" width="8.75" style="7" customWidth="1"/>
    <col min="2567" max="2567" width="11.5" style="7" customWidth="1"/>
    <col min="2568" max="2568" width="6.625" style="7" customWidth="1"/>
    <col min="2569" max="2569" width="11.25" style="7" customWidth="1"/>
    <col min="2570" max="2787" width="9" style="7" customWidth="1"/>
    <col min="2788" max="2788" width="9.625" style="7" customWidth="1"/>
    <col min="2789" max="2789" width="7.625" style="7" customWidth="1"/>
    <col min="2790" max="2790" width="18.5" style="7" customWidth="1"/>
    <col min="2791" max="2791" width="6.625" style="7" customWidth="1"/>
    <col min="2792" max="2792" width="12.25" style="7" customWidth="1"/>
    <col min="2793" max="2793" width="8" style="7" customWidth="1"/>
    <col min="2794" max="2794" width="10.625" style="7" customWidth="1"/>
    <col min="2795" max="2795" width="8" style="7" customWidth="1"/>
    <col min="2796" max="2796" width="11.375" style="7" customWidth="1"/>
    <col min="2797" max="2797" width="11.5" style="7" customWidth="1"/>
    <col min="2798" max="2798" width="8" style="7" customWidth="1"/>
    <col min="2799" max="2799" width="11.25" style="7" customWidth="1"/>
    <col min="2800" max="2800" width="8" style="7" customWidth="1"/>
    <col min="2801" max="2801" width="10.875" style="7" customWidth="1"/>
    <col min="2802" max="2802" width="12.25" style="7" customWidth="1"/>
    <col min="2803" max="2803" width="8" style="7" customWidth="1"/>
    <col min="2804" max="2804" width="11.875" style="7" customWidth="1"/>
    <col min="2805" max="2805" width="8" style="7" customWidth="1"/>
    <col min="2806" max="2806" width="11" style="7" customWidth="1"/>
    <col min="2807" max="2807" width="12.25" style="7" customWidth="1"/>
    <col min="2808" max="2808" width="8" style="7" customWidth="1"/>
    <col min="2809" max="2809" width="11.875" style="7" customWidth="1"/>
    <col min="2810" max="2810" width="8" style="7" customWidth="1"/>
    <col min="2811" max="2811" width="12.25" style="7" customWidth="1"/>
    <col min="2812" max="2812" width="14.25" style="7" customWidth="1"/>
    <col min="2813" max="2813" width="8" style="7" customWidth="1"/>
    <col min="2814" max="2814" width="14" style="7" customWidth="1"/>
    <col min="2815" max="2815" width="8.875" style="7" customWidth="1"/>
    <col min="2816" max="2816" width="15.25" style="7" customWidth="1"/>
    <col min="2817" max="2817" width="16.375" style="7" customWidth="1"/>
    <col min="2818" max="2818" width="8.875" style="7" customWidth="1"/>
    <col min="2819" max="2819" width="9.625" style="7" customWidth="1"/>
    <col min="2820" max="2820" width="8.75" style="7" customWidth="1"/>
    <col min="2821" max="2821" width="12.375" style="7" customWidth="1"/>
    <col min="2822" max="2822" width="8.75" style="7" customWidth="1"/>
    <col min="2823" max="2823" width="11.5" style="7" customWidth="1"/>
    <col min="2824" max="2824" width="6.625" style="7" customWidth="1"/>
    <col min="2825" max="2825" width="11.25" style="7" customWidth="1"/>
    <col min="2826" max="3043" width="9" style="7" customWidth="1"/>
    <col min="3044" max="3044" width="9.625" style="7" customWidth="1"/>
    <col min="3045" max="3045" width="7.625" style="7" customWidth="1"/>
    <col min="3046" max="3046" width="18.5" style="7" customWidth="1"/>
    <col min="3047" max="3047" width="6.625" style="7" customWidth="1"/>
    <col min="3048" max="3048" width="12.25" style="7" customWidth="1"/>
    <col min="3049" max="3049" width="8" style="7" customWidth="1"/>
    <col min="3050" max="3050" width="10.625" style="7" customWidth="1"/>
    <col min="3051" max="3051" width="8" style="7" customWidth="1"/>
    <col min="3052" max="3052" width="11.375" style="7" customWidth="1"/>
    <col min="3053" max="3053" width="11.5" style="7" customWidth="1"/>
    <col min="3054" max="3054" width="8" style="7" customWidth="1"/>
    <col min="3055" max="3055" width="11.25" style="7" customWidth="1"/>
    <col min="3056" max="3056" width="8" style="7" customWidth="1"/>
    <col min="3057" max="3057" width="10.875" style="7" customWidth="1"/>
    <col min="3058" max="3058" width="12.25" style="7" customWidth="1"/>
    <col min="3059" max="3059" width="8" style="7" customWidth="1"/>
    <col min="3060" max="3060" width="11.875" style="7" customWidth="1"/>
    <col min="3061" max="3061" width="8" style="7" customWidth="1"/>
    <col min="3062" max="3062" width="11" style="7" customWidth="1"/>
    <col min="3063" max="3063" width="12.25" style="7" customWidth="1"/>
    <col min="3064" max="3064" width="8" style="7" customWidth="1"/>
    <col min="3065" max="3065" width="11.875" style="7" customWidth="1"/>
    <col min="3066" max="3066" width="8" style="7" customWidth="1"/>
    <col min="3067" max="3067" width="12.25" style="7" customWidth="1"/>
    <col min="3068" max="3068" width="14.25" style="7" customWidth="1"/>
    <col min="3069" max="3069" width="8" style="7" customWidth="1"/>
    <col min="3070" max="3070" width="14" style="7" customWidth="1"/>
    <col min="3071" max="3071" width="8.875" style="7" customWidth="1"/>
    <col min="3072" max="3072" width="15.25" style="7" customWidth="1"/>
    <col min="3073" max="3073" width="16.375" style="7" customWidth="1"/>
    <col min="3074" max="3074" width="8.875" style="7" customWidth="1"/>
    <col min="3075" max="3075" width="9.625" style="7" customWidth="1"/>
    <col min="3076" max="3076" width="8.75" style="7" customWidth="1"/>
    <col min="3077" max="3077" width="12.375" style="7" customWidth="1"/>
    <col min="3078" max="3078" width="8.75" style="7" customWidth="1"/>
    <col min="3079" max="3079" width="11.5" style="7" customWidth="1"/>
    <col min="3080" max="3080" width="6.625" style="7" customWidth="1"/>
    <col min="3081" max="3081" width="11.25" style="7" customWidth="1"/>
    <col min="3082" max="3299" width="9" style="7" customWidth="1"/>
    <col min="3300" max="3300" width="9.625" style="7" customWidth="1"/>
    <col min="3301" max="3301" width="7.625" style="7" customWidth="1"/>
    <col min="3302" max="3302" width="18.5" style="7" customWidth="1"/>
    <col min="3303" max="3303" width="6.625" style="7" customWidth="1"/>
    <col min="3304" max="3304" width="12.25" style="7" customWidth="1"/>
    <col min="3305" max="3305" width="8" style="7" customWidth="1"/>
    <col min="3306" max="3306" width="10.625" style="7" customWidth="1"/>
    <col min="3307" max="3307" width="8" style="7" customWidth="1"/>
    <col min="3308" max="3308" width="11.375" style="7" customWidth="1"/>
    <col min="3309" max="3309" width="11.5" style="7" customWidth="1"/>
    <col min="3310" max="3310" width="8" style="7" customWidth="1"/>
    <col min="3311" max="3311" width="11.25" style="7" customWidth="1"/>
    <col min="3312" max="3312" width="8" style="7" customWidth="1"/>
    <col min="3313" max="3313" width="10.875" style="7" customWidth="1"/>
    <col min="3314" max="3314" width="12.25" style="7" customWidth="1"/>
    <col min="3315" max="3315" width="8" style="7" customWidth="1"/>
    <col min="3316" max="3316" width="11.875" style="7" customWidth="1"/>
    <col min="3317" max="3317" width="8" style="7" customWidth="1"/>
    <col min="3318" max="3318" width="11" style="7" customWidth="1"/>
    <col min="3319" max="3319" width="12.25" style="7" customWidth="1"/>
    <col min="3320" max="3320" width="8" style="7" customWidth="1"/>
    <col min="3321" max="3321" width="11.875" style="7" customWidth="1"/>
    <col min="3322" max="3322" width="8" style="7" customWidth="1"/>
    <col min="3323" max="3323" width="12.25" style="7" customWidth="1"/>
    <col min="3324" max="3324" width="14.25" style="7" customWidth="1"/>
    <col min="3325" max="3325" width="8" style="7" customWidth="1"/>
    <col min="3326" max="3326" width="14" style="7" customWidth="1"/>
    <col min="3327" max="3327" width="8.875" style="7" customWidth="1"/>
    <col min="3328" max="3328" width="15.25" style="7" customWidth="1"/>
    <col min="3329" max="3329" width="16.375" style="7" customWidth="1"/>
    <col min="3330" max="3330" width="8.875" style="7" customWidth="1"/>
    <col min="3331" max="3331" width="9.625" style="7" customWidth="1"/>
    <col min="3332" max="3332" width="8.75" style="7" customWidth="1"/>
    <col min="3333" max="3333" width="12.375" style="7" customWidth="1"/>
    <col min="3334" max="3334" width="8.75" style="7" customWidth="1"/>
    <col min="3335" max="3335" width="11.5" style="7" customWidth="1"/>
    <col min="3336" max="3336" width="6.625" style="7" customWidth="1"/>
    <col min="3337" max="3337" width="11.25" style="7" customWidth="1"/>
    <col min="3338" max="3555" width="9" style="7" customWidth="1"/>
    <col min="3556" max="3556" width="9.625" style="7" customWidth="1"/>
    <col min="3557" max="3557" width="7.625" style="7" customWidth="1"/>
    <col min="3558" max="3558" width="18.5" style="7" customWidth="1"/>
    <col min="3559" max="3559" width="6.625" style="7" customWidth="1"/>
    <col min="3560" max="3560" width="12.25" style="7" customWidth="1"/>
    <col min="3561" max="3561" width="8" style="7" customWidth="1"/>
    <col min="3562" max="3562" width="10.625" style="7" customWidth="1"/>
    <col min="3563" max="3563" width="8" style="7" customWidth="1"/>
    <col min="3564" max="3564" width="11.375" style="7" customWidth="1"/>
    <col min="3565" max="3565" width="11.5" style="7" customWidth="1"/>
    <col min="3566" max="3566" width="8" style="7" customWidth="1"/>
    <col min="3567" max="3567" width="11.25" style="7" customWidth="1"/>
    <col min="3568" max="3568" width="8" style="7" customWidth="1"/>
    <col min="3569" max="3569" width="10.875" style="7" customWidth="1"/>
    <col min="3570" max="3570" width="12.25" style="7" customWidth="1"/>
    <col min="3571" max="3571" width="8" style="7" customWidth="1"/>
    <col min="3572" max="3572" width="11.875" style="7" customWidth="1"/>
    <col min="3573" max="3573" width="8" style="7" customWidth="1"/>
    <col min="3574" max="3574" width="11" style="7" customWidth="1"/>
    <col min="3575" max="3575" width="12.25" style="7" customWidth="1"/>
    <col min="3576" max="3576" width="8" style="7" customWidth="1"/>
    <col min="3577" max="3577" width="11.875" style="7" customWidth="1"/>
    <col min="3578" max="3578" width="8" style="7" customWidth="1"/>
    <col min="3579" max="3579" width="12.25" style="7" customWidth="1"/>
    <col min="3580" max="3580" width="14.25" style="7" customWidth="1"/>
    <col min="3581" max="3581" width="8" style="7" customWidth="1"/>
    <col min="3582" max="3582" width="14" style="7" customWidth="1"/>
    <col min="3583" max="3583" width="8.875" style="7" customWidth="1"/>
    <col min="3584" max="3584" width="15.25" style="7" customWidth="1"/>
    <col min="3585" max="3585" width="16.375" style="7" customWidth="1"/>
    <col min="3586" max="3586" width="8.875" style="7" customWidth="1"/>
    <col min="3587" max="3587" width="9.625" style="7" customWidth="1"/>
    <col min="3588" max="3588" width="8.75" style="7" customWidth="1"/>
    <col min="3589" max="3589" width="12.375" style="7" customWidth="1"/>
    <col min="3590" max="3590" width="8.75" style="7" customWidth="1"/>
    <col min="3591" max="3591" width="11.5" style="7" customWidth="1"/>
    <col min="3592" max="3592" width="6.625" style="7" customWidth="1"/>
    <col min="3593" max="3593" width="11.25" style="7" customWidth="1"/>
    <col min="3594" max="3811" width="9" style="7" customWidth="1"/>
    <col min="3812" max="3812" width="9.625" style="7" customWidth="1"/>
    <col min="3813" max="3813" width="7.625" style="7" customWidth="1"/>
    <col min="3814" max="3814" width="18.5" style="7" customWidth="1"/>
    <col min="3815" max="3815" width="6.625" style="7" customWidth="1"/>
    <col min="3816" max="3816" width="12.25" style="7" customWidth="1"/>
    <col min="3817" max="3817" width="8" style="7" customWidth="1"/>
    <col min="3818" max="3818" width="10.625" style="7" customWidth="1"/>
    <col min="3819" max="3819" width="8" style="7" customWidth="1"/>
    <col min="3820" max="3820" width="11.375" style="7" customWidth="1"/>
    <col min="3821" max="3821" width="11.5" style="7" customWidth="1"/>
    <col min="3822" max="3822" width="8" style="7" customWidth="1"/>
    <col min="3823" max="3823" width="11.25" style="7" customWidth="1"/>
    <col min="3824" max="3824" width="8" style="7" customWidth="1"/>
    <col min="3825" max="3825" width="10.875" style="7" customWidth="1"/>
    <col min="3826" max="3826" width="12.25" style="7" customWidth="1"/>
    <col min="3827" max="3827" width="8" style="7" customWidth="1"/>
    <col min="3828" max="3828" width="11.875" style="7" customWidth="1"/>
    <col min="3829" max="3829" width="8" style="7" customWidth="1"/>
    <col min="3830" max="3830" width="11" style="7" customWidth="1"/>
    <col min="3831" max="3831" width="12.25" style="7" customWidth="1"/>
    <col min="3832" max="3832" width="8" style="7" customWidth="1"/>
    <col min="3833" max="3833" width="11.875" style="7" customWidth="1"/>
    <col min="3834" max="3834" width="8" style="7" customWidth="1"/>
    <col min="3835" max="3835" width="12.25" style="7" customWidth="1"/>
    <col min="3836" max="3836" width="14.25" style="7" customWidth="1"/>
    <col min="3837" max="3837" width="8" style="7" customWidth="1"/>
    <col min="3838" max="3838" width="14" style="7" customWidth="1"/>
    <col min="3839" max="3839" width="8.875" style="7" customWidth="1"/>
    <col min="3840" max="3840" width="15.25" style="7" customWidth="1"/>
    <col min="3841" max="3841" width="16.375" style="7" customWidth="1"/>
    <col min="3842" max="3842" width="8.875" style="7" customWidth="1"/>
    <col min="3843" max="3843" width="9.625" style="7" customWidth="1"/>
    <col min="3844" max="3844" width="8.75" style="7" customWidth="1"/>
    <col min="3845" max="3845" width="12.375" style="7" customWidth="1"/>
    <col min="3846" max="3846" width="8.75" style="7" customWidth="1"/>
    <col min="3847" max="3847" width="11.5" style="7" customWidth="1"/>
    <col min="3848" max="3848" width="6.625" style="7" customWidth="1"/>
    <col min="3849" max="3849" width="11.25" style="7" customWidth="1"/>
    <col min="3850" max="4067" width="9" style="7" customWidth="1"/>
    <col min="4068" max="4068" width="9.625" style="7" customWidth="1"/>
    <col min="4069" max="4069" width="7.625" style="7" customWidth="1"/>
    <col min="4070" max="4070" width="18.5" style="7" customWidth="1"/>
    <col min="4071" max="4071" width="6.625" style="7" customWidth="1"/>
    <col min="4072" max="4072" width="12.25" style="7" customWidth="1"/>
    <col min="4073" max="4073" width="8" style="7" customWidth="1"/>
    <col min="4074" max="4074" width="10.625" style="7" customWidth="1"/>
    <col min="4075" max="4075" width="8" style="7" customWidth="1"/>
    <col min="4076" max="4076" width="11.375" style="7" customWidth="1"/>
    <col min="4077" max="4077" width="11.5" style="7" customWidth="1"/>
    <col min="4078" max="4078" width="8" style="7" customWidth="1"/>
    <col min="4079" max="4079" width="11.25" style="7" customWidth="1"/>
    <col min="4080" max="4080" width="8" style="7" customWidth="1"/>
    <col min="4081" max="4081" width="10.875" style="7" customWidth="1"/>
    <col min="4082" max="4082" width="12.25" style="7" customWidth="1"/>
    <col min="4083" max="4083" width="8" style="7" customWidth="1"/>
    <col min="4084" max="4084" width="11.875" style="7" customWidth="1"/>
    <col min="4085" max="4085" width="8" style="7" customWidth="1"/>
    <col min="4086" max="4086" width="11" style="7" customWidth="1"/>
    <col min="4087" max="4087" width="12.25" style="7" customWidth="1"/>
    <col min="4088" max="4088" width="8" style="7" customWidth="1"/>
    <col min="4089" max="4089" width="11.875" style="7" customWidth="1"/>
    <col min="4090" max="4090" width="8" style="7" customWidth="1"/>
    <col min="4091" max="4091" width="12.25" style="7" customWidth="1"/>
    <col min="4092" max="4092" width="14.25" style="7" customWidth="1"/>
    <col min="4093" max="4093" width="8" style="7" customWidth="1"/>
    <col min="4094" max="4094" width="14" style="7" customWidth="1"/>
    <col min="4095" max="4095" width="8.875" style="7" customWidth="1"/>
    <col min="4096" max="4096" width="15.25" style="7" customWidth="1"/>
    <col min="4097" max="4097" width="16.375" style="7" customWidth="1"/>
    <col min="4098" max="4098" width="8.875" style="7" customWidth="1"/>
    <col min="4099" max="4099" width="9.625" style="7" customWidth="1"/>
    <col min="4100" max="4100" width="8.75" style="7" customWidth="1"/>
    <col min="4101" max="4101" width="12.375" style="7" customWidth="1"/>
    <col min="4102" max="4102" width="8.75" style="7" customWidth="1"/>
    <col min="4103" max="4103" width="11.5" style="7" customWidth="1"/>
    <col min="4104" max="4104" width="6.625" style="7" customWidth="1"/>
    <col min="4105" max="4105" width="11.25" style="7" customWidth="1"/>
    <col min="4106" max="4323" width="9" style="7" customWidth="1"/>
    <col min="4324" max="4324" width="9.625" style="7" customWidth="1"/>
    <col min="4325" max="4325" width="7.625" style="7" customWidth="1"/>
    <col min="4326" max="4326" width="18.5" style="7" customWidth="1"/>
    <col min="4327" max="4327" width="6.625" style="7" customWidth="1"/>
    <col min="4328" max="4328" width="12.25" style="7" customWidth="1"/>
    <col min="4329" max="4329" width="8" style="7" customWidth="1"/>
    <col min="4330" max="4330" width="10.625" style="7" customWidth="1"/>
    <col min="4331" max="4331" width="8" style="7" customWidth="1"/>
    <col min="4332" max="4332" width="11.375" style="7" customWidth="1"/>
    <col min="4333" max="4333" width="11.5" style="7" customWidth="1"/>
    <col min="4334" max="4334" width="8" style="7" customWidth="1"/>
    <col min="4335" max="4335" width="11.25" style="7" customWidth="1"/>
    <col min="4336" max="4336" width="8" style="7" customWidth="1"/>
    <col min="4337" max="4337" width="10.875" style="7" customWidth="1"/>
    <col min="4338" max="4338" width="12.25" style="7" customWidth="1"/>
    <col min="4339" max="4339" width="8" style="7" customWidth="1"/>
    <col min="4340" max="4340" width="11.875" style="7" customWidth="1"/>
    <col min="4341" max="4341" width="8" style="7" customWidth="1"/>
    <col min="4342" max="4342" width="11" style="7" customWidth="1"/>
    <col min="4343" max="4343" width="12.25" style="7" customWidth="1"/>
    <col min="4344" max="4344" width="8" style="7" customWidth="1"/>
    <col min="4345" max="4345" width="11.875" style="7" customWidth="1"/>
    <col min="4346" max="4346" width="8" style="7" customWidth="1"/>
    <col min="4347" max="4347" width="12.25" style="7" customWidth="1"/>
    <col min="4348" max="4348" width="14.25" style="7" customWidth="1"/>
    <col min="4349" max="4349" width="8" style="7" customWidth="1"/>
    <col min="4350" max="4350" width="14" style="7" customWidth="1"/>
    <col min="4351" max="4351" width="8.875" style="7" customWidth="1"/>
    <col min="4352" max="4352" width="15.25" style="7" customWidth="1"/>
    <col min="4353" max="4353" width="16.375" style="7" customWidth="1"/>
    <col min="4354" max="4354" width="8.875" style="7" customWidth="1"/>
    <col min="4355" max="4355" width="9.625" style="7" customWidth="1"/>
    <col min="4356" max="4356" width="8.75" style="7" customWidth="1"/>
    <col min="4357" max="4357" width="12.375" style="7" customWidth="1"/>
    <col min="4358" max="4358" width="8.75" style="7" customWidth="1"/>
    <col min="4359" max="4359" width="11.5" style="7" customWidth="1"/>
    <col min="4360" max="4360" width="6.625" style="7" customWidth="1"/>
    <col min="4361" max="4361" width="11.25" style="7" customWidth="1"/>
    <col min="4362" max="4579" width="9" style="7" customWidth="1"/>
    <col min="4580" max="4580" width="9.625" style="7" customWidth="1"/>
    <col min="4581" max="4581" width="7.625" style="7" customWidth="1"/>
    <col min="4582" max="4582" width="18.5" style="7" customWidth="1"/>
    <col min="4583" max="4583" width="6.625" style="7" customWidth="1"/>
    <col min="4584" max="4584" width="12.25" style="7" customWidth="1"/>
    <col min="4585" max="4585" width="8" style="7" customWidth="1"/>
    <col min="4586" max="4586" width="10.625" style="7" customWidth="1"/>
    <col min="4587" max="4587" width="8" style="7" customWidth="1"/>
    <col min="4588" max="4588" width="11.375" style="7" customWidth="1"/>
    <col min="4589" max="4589" width="11.5" style="7" customWidth="1"/>
    <col min="4590" max="4590" width="8" style="7" customWidth="1"/>
    <col min="4591" max="4591" width="11.25" style="7" customWidth="1"/>
    <col min="4592" max="4592" width="8" style="7" customWidth="1"/>
    <col min="4593" max="4593" width="10.875" style="7" customWidth="1"/>
    <col min="4594" max="4594" width="12.25" style="7" customWidth="1"/>
    <col min="4595" max="4595" width="8" style="7" customWidth="1"/>
    <col min="4596" max="4596" width="11.875" style="7" customWidth="1"/>
    <col min="4597" max="4597" width="8" style="7" customWidth="1"/>
    <col min="4598" max="4598" width="11" style="7" customWidth="1"/>
    <col min="4599" max="4599" width="12.25" style="7" customWidth="1"/>
    <col min="4600" max="4600" width="8" style="7" customWidth="1"/>
    <col min="4601" max="4601" width="11.875" style="7" customWidth="1"/>
    <col min="4602" max="4602" width="8" style="7" customWidth="1"/>
    <col min="4603" max="4603" width="12.25" style="7" customWidth="1"/>
    <col min="4604" max="4604" width="14.25" style="7" customWidth="1"/>
    <col min="4605" max="4605" width="8" style="7" customWidth="1"/>
    <col min="4606" max="4606" width="14" style="7" customWidth="1"/>
    <col min="4607" max="4607" width="8.875" style="7" customWidth="1"/>
    <col min="4608" max="4608" width="15.25" style="7" customWidth="1"/>
    <col min="4609" max="4609" width="16.375" style="7" customWidth="1"/>
    <col min="4610" max="4610" width="8.875" style="7" customWidth="1"/>
    <col min="4611" max="4611" width="9.625" style="7" customWidth="1"/>
    <col min="4612" max="4612" width="8.75" style="7" customWidth="1"/>
    <col min="4613" max="4613" width="12.375" style="7" customWidth="1"/>
    <col min="4614" max="4614" width="8.75" style="7" customWidth="1"/>
    <col min="4615" max="4615" width="11.5" style="7" customWidth="1"/>
    <col min="4616" max="4616" width="6.625" style="7" customWidth="1"/>
    <col min="4617" max="4617" width="11.25" style="7" customWidth="1"/>
    <col min="4618" max="4835" width="9" style="7" customWidth="1"/>
    <col min="4836" max="4836" width="9.625" style="7" customWidth="1"/>
    <col min="4837" max="4837" width="7.625" style="7" customWidth="1"/>
    <col min="4838" max="4838" width="18.5" style="7" customWidth="1"/>
    <col min="4839" max="4839" width="6.625" style="7" customWidth="1"/>
    <col min="4840" max="4840" width="12.25" style="7" customWidth="1"/>
    <col min="4841" max="4841" width="8" style="7" customWidth="1"/>
    <col min="4842" max="4842" width="10.625" style="7" customWidth="1"/>
    <col min="4843" max="4843" width="8" style="7" customWidth="1"/>
    <col min="4844" max="4844" width="11.375" style="7" customWidth="1"/>
    <col min="4845" max="4845" width="11.5" style="7" customWidth="1"/>
    <col min="4846" max="4846" width="8" style="7" customWidth="1"/>
    <col min="4847" max="4847" width="11.25" style="7" customWidth="1"/>
    <col min="4848" max="4848" width="8" style="7" customWidth="1"/>
    <col min="4849" max="4849" width="10.875" style="7" customWidth="1"/>
    <col min="4850" max="4850" width="12.25" style="7" customWidth="1"/>
    <col min="4851" max="4851" width="8" style="7" customWidth="1"/>
    <col min="4852" max="4852" width="11.875" style="7" customWidth="1"/>
    <col min="4853" max="4853" width="8" style="7" customWidth="1"/>
    <col min="4854" max="4854" width="11" style="7" customWidth="1"/>
    <col min="4855" max="4855" width="12.25" style="7" customWidth="1"/>
    <col min="4856" max="4856" width="8" style="7" customWidth="1"/>
    <col min="4857" max="4857" width="11.875" style="7" customWidth="1"/>
    <col min="4858" max="4858" width="8" style="7" customWidth="1"/>
    <col min="4859" max="4859" width="12.25" style="7" customWidth="1"/>
    <col min="4860" max="4860" width="14.25" style="7" customWidth="1"/>
    <col min="4861" max="4861" width="8" style="7" customWidth="1"/>
    <col min="4862" max="4862" width="14" style="7" customWidth="1"/>
    <col min="4863" max="4863" width="8.875" style="7" customWidth="1"/>
    <col min="4864" max="4864" width="15.25" style="7" customWidth="1"/>
    <col min="4865" max="4865" width="16.375" style="7" customWidth="1"/>
    <col min="4866" max="4866" width="8.875" style="7" customWidth="1"/>
    <col min="4867" max="4867" width="9.625" style="7" customWidth="1"/>
    <col min="4868" max="4868" width="8.75" style="7" customWidth="1"/>
    <col min="4869" max="4869" width="12.375" style="7" customWidth="1"/>
    <col min="4870" max="4870" width="8.75" style="7" customWidth="1"/>
    <col min="4871" max="4871" width="11.5" style="7" customWidth="1"/>
    <col min="4872" max="4872" width="6.625" style="7" customWidth="1"/>
    <col min="4873" max="4873" width="11.25" style="7" customWidth="1"/>
    <col min="4874" max="5091" width="9" style="7" customWidth="1"/>
    <col min="5092" max="5092" width="9.625" style="7" customWidth="1"/>
    <col min="5093" max="5093" width="7.625" style="7" customWidth="1"/>
    <col min="5094" max="5094" width="18.5" style="7" customWidth="1"/>
    <col min="5095" max="5095" width="6.625" style="7" customWidth="1"/>
    <col min="5096" max="5096" width="12.25" style="7" customWidth="1"/>
    <col min="5097" max="5097" width="8" style="7" customWidth="1"/>
    <col min="5098" max="5098" width="10.625" style="7" customWidth="1"/>
    <col min="5099" max="5099" width="8" style="7" customWidth="1"/>
    <col min="5100" max="5100" width="11.375" style="7" customWidth="1"/>
    <col min="5101" max="5101" width="11.5" style="7" customWidth="1"/>
    <col min="5102" max="5102" width="8" style="7" customWidth="1"/>
    <col min="5103" max="5103" width="11.25" style="7" customWidth="1"/>
    <col min="5104" max="5104" width="8" style="7" customWidth="1"/>
    <col min="5105" max="5105" width="10.875" style="7" customWidth="1"/>
    <col min="5106" max="5106" width="12.25" style="7" customWidth="1"/>
    <col min="5107" max="5107" width="8" style="7" customWidth="1"/>
    <col min="5108" max="5108" width="11.875" style="7" customWidth="1"/>
    <col min="5109" max="5109" width="8" style="7" customWidth="1"/>
    <col min="5110" max="5110" width="11" style="7" customWidth="1"/>
    <col min="5111" max="5111" width="12.25" style="7" customWidth="1"/>
    <col min="5112" max="5112" width="8" style="7" customWidth="1"/>
    <col min="5113" max="5113" width="11.875" style="7" customWidth="1"/>
    <col min="5114" max="5114" width="8" style="7" customWidth="1"/>
    <col min="5115" max="5115" width="12.25" style="7" customWidth="1"/>
    <col min="5116" max="5116" width="14.25" style="7" customWidth="1"/>
    <col min="5117" max="5117" width="8" style="7" customWidth="1"/>
    <col min="5118" max="5118" width="14" style="7" customWidth="1"/>
    <col min="5119" max="5119" width="8.875" style="7" customWidth="1"/>
    <col min="5120" max="5120" width="15.25" style="7" customWidth="1"/>
    <col min="5121" max="5121" width="16.375" style="7" customWidth="1"/>
    <col min="5122" max="5122" width="8.875" style="7" customWidth="1"/>
    <col min="5123" max="5123" width="9.625" style="7" customWidth="1"/>
    <col min="5124" max="5124" width="8.75" style="7" customWidth="1"/>
    <col min="5125" max="5125" width="12.375" style="7" customWidth="1"/>
    <col min="5126" max="5126" width="8.75" style="7" customWidth="1"/>
    <col min="5127" max="5127" width="11.5" style="7" customWidth="1"/>
    <col min="5128" max="5128" width="6.625" style="7" customWidth="1"/>
    <col min="5129" max="5129" width="11.25" style="7" customWidth="1"/>
    <col min="5130" max="5347" width="9" style="7" customWidth="1"/>
    <col min="5348" max="5348" width="9.625" style="7" customWidth="1"/>
    <col min="5349" max="5349" width="7.625" style="7" customWidth="1"/>
    <col min="5350" max="5350" width="18.5" style="7" customWidth="1"/>
    <col min="5351" max="5351" width="6.625" style="7" customWidth="1"/>
    <col min="5352" max="5352" width="12.25" style="7" customWidth="1"/>
    <col min="5353" max="5353" width="8" style="7" customWidth="1"/>
    <col min="5354" max="5354" width="10.625" style="7" customWidth="1"/>
    <col min="5355" max="5355" width="8" style="7" customWidth="1"/>
    <col min="5356" max="5356" width="11.375" style="7" customWidth="1"/>
    <col min="5357" max="5357" width="11.5" style="7" customWidth="1"/>
    <col min="5358" max="5358" width="8" style="7" customWidth="1"/>
    <col min="5359" max="5359" width="11.25" style="7" customWidth="1"/>
    <col min="5360" max="5360" width="8" style="7" customWidth="1"/>
    <col min="5361" max="5361" width="10.875" style="7" customWidth="1"/>
    <col min="5362" max="5362" width="12.25" style="7" customWidth="1"/>
    <col min="5363" max="5363" width="8" style="7" customWidth="1"/>
    <col min="5364" max="5364" width="11.875" style="7" customWidth="1"/>
    <col min="5365" max="5365" width="8" style="7" customWidth="1"/>
    <col min="5366" max="5366" width="11" style="7" customWidth="1"/>
    <col min="5367" max="5367" width="12.25" style="7" customWidth="1"/>
    <col min="5368" max="5368" width="8" style="7" customWidth="1"/>
    <col min="5369" max="5369" width="11.875" style="7" customWidth="1"/>
    <col min="5370" max="5370" width="8" style="7" customWidth="1"/>
    <col min="5371" max="5371" width="12.25" style="7" customWidth="1"/>
    <col min="5372" max="5372" width="14.25" style="7" customWidth="1"/>
    <col min="5373" max="5373" width="8" style="7" customWidth="1"/>
    <col min="5374" max="5374" width="14" style="7" customWidth="1"/>
    <col min="5375" max="5375" width="8.875" style="7" customWidth="1"/>
    <col min="5376" max="5376" width="15.25" style="7" customWidth="1"/>
    <col min="5377" max="5377" width="16.375" style="7" customWidth="1"/>
    <col min="5378" max="5378" width="8.875" style="7" customWidth="1"/>
    <col min="5379" max="5379" width="9.625" style="7" customWidth="1"/>
    <col min="5380" max="5380" width="8.75" style="7" customWidth="1"/>
    <col min="5381" max="5381" width="12.375" style="7" customWidth="1"/>
    <col min="5382" max="5382" width="8.75" style="7" customWidth="1"/>
    <col min="5383" max="5383" width="11.5" style="7" customWidth="1"/>
    <col min="5384" max="5384" width="6.625" style="7" customWidth="1"/>
    <col min="5385" max="5385" width="11.25" style="7" customWidth="1"/>
    <col min="5386" max="5603" width="9" style="7" customWidth="1"/>
    <col min="5604" max="5604" width="9.625" style="7" customWidth="1"/>
    <col min="5605" max="5605" width="7.625" style="7" customWidth="1"/>
    <col min="5606" max="5606" width="18.5" style="7" customWidth="1"/>
    <col min="5607" max="5607" width="6.625" style="7" customWidth="1"/>
    <col min="5608" max="5608" width="12.25" style="7" customWidth="1"/>
    <col min="5609" max="5609" width="8" style="7" customWidth="1"/>
    <col min="5610" max="5610" width="10.625" style="7" customWidth="1"/>
    <col min="5611" max="5611" width="8" style="7" customWidth="1"/>
    <col min="5612" max="5612" width="11.375" style="7" customWidth="1"/>
    <col min="5613" max="5613" width="11.5" style="7" customWidth="1"/>
    <col min="5614" max="5614" width="8" style="7" customWidth="1"/>
    <col min="5615" max="5615" width="11.25" style="7" customWidth="1"/>
    <col min="5616" max="5616" width="8" style="7" customWidth="1"/>
    <col min="5617" max="5617" width="10.875" style="7" customWidth="1"/>
    <col min="5618" max="5618" width="12.25" style="7" customWidth="1"/>
    <col min="5619" max="5619" width="8" style="7" customWidth="1"/>
    <col min="5620" max="5620" width="11.875" style="7" customWidth="1"/>
    <col min="5621" max="5621" width="8" style="7" customWidth="1"/>
    <col min="5622" max="5622" width="11" style="7" customWidth="1"/>
    <col min="5623" max="5623" width="12.25" style="7" customWidth="1"/>
    <col min="5624" max="5624" width="8" style="7" customWidth="1"/>
    <col min="5625" max="5625" width="11.875" style="7" customWidth="1"/>
    <col min="5626" max="5626" width="8" style="7" customWidth="1"/>
    <col min="5627" max="5627" width="12.25" style="7" customWidth="1"/>
    <col min="5628" max="5628" width="14.25" style="7" customWidth="1"/>
    <col min="5629" max="5629" width="8" style="7" customWidth="1"/>
    <col min="5630" max="5630" width="14" style="7" customWidth="1"/>
    <col min="5631" max="5631" width="8.875" style="7" customWidth="1"/>
    <col min="5632" max="5632" width="15.25" style="7" customWidth="1"/>
    <col min="5633" max="5633" width="16.375" style="7" customWidth="1"/>
    <col min="5634" max="5634" width="8.875" style="7" customWidth="1"/>
    <col min="5635" max="5635" width="9.625" style="7" customWidth="1"/>
    <col min="5636" max="5636" width="8.75" style="7" customWidth="1"/>
    <col min="5637" max="5637" width="12.375" style="7" customWidth="1"/>
    <col min="5638" max="5638" width="8.75" style="7" customWidth="1"/>
    <col min="5639" max="5639" width="11.5" style="7" customWidth="1"/>
    <col min="5640" max="5640" width="6.625" style="7" customWidth="1"/>
    <col min="5641" max="5641" width="11.25" style="7" customWidth="1"/>
    <col min="5642" max="5859" width="9" style="7" customWidth="1"/>
    <col min="5860" max="5860" width="9.625" style="7" customWidth="1"/>
    <col min="5861" max="5861" width="7.625" style="7" customWidth="1"/>
    <col min="5862" max="5862" width="18.5" style="7" customWidth="1"/>
    <col min="5863" max="5863" width="6.625" style="7" customWidth="1"/>
    <col min="5864" max="5864" width="12.25" style="7" customWidth="1"/>
    <col min="5865" max="5865" width="8" style="7" customWidth="1"/>
    <col min="5866" max="5866" width="10.625" style="7" customWidth="1"/>
    <col min="5867" max="5867" width="8" style="7" customWidth="1"/>
    <col min="5868" max="5868" width="11.375" style="7" customWidth="1"/>
    <col min="5869" max="5869" width="11.5" style="7" customWidth="1"/>
    <col min="5870" max="5870" width="8" style="7" customWidth="1"/>
    <col min="5871" max="5871" width="11.25" style="7" customWidth="1"/>
    <col min="5872" max="5872" width="8" style="7" customWidth="1"/>
    <col min="5873" max="5873" width="10.875" style="7" customWidth="1"/>
    <col min="5874" max="5874" width="12.25" style="7" customWidth="1"/>
    <col min="5875" max="5875" width="8" style="7" customWidth="1"/>
    <col min="5876" max="5876" width="11.875" style="7" customWidth="1"/>
    <col min="5877" max="5877" width="8" style="7" customWidth="1"/>
    <col min="5878" max="5878" width="11" style="7" customWidth="1"/>
    <col min="5879" max="5879" width="12.25" style="7" customWidth="1"/>
    <col min="5880" max="5880" width="8" style="7" customWidth="1"/>
    <col min="5881" max="5881" width="11.875" style="7" customWidth="1"/>
    <col min="5882" max="5882" width="8" style="7" customWidth="1"/>
    <col min="5883" max="5883" width="12.25" style="7" customWidth="1"/>
    <col min="5884" max="5884" width="14.25" style="7" customWidth="1"/>
    <col min="5885" max="5885" width="8" style="7" customWidth="1"/>
    <col min="5886" max="5886" width="14" style="7" customWidth="1"/>
    <col min="5887" max="5887" width="8.875" style="7" customWidth="1"/>
    <col min="5888" max="5888" width="15.25" style="7" customWidth="1"/>
    <col min="5889" max="5889" width="16.375" style="7" customWidth="1"/>
    <col min="5890" max="5890" width="8.875" style="7" customWidth="1"/>
    <col min="5891" max="5891" width="9.625" style="7" customWidth="1"/>
    <col min="5892" max="5892" width="8.75" style="7" customWidth="1"/>
    <col min="5893" max="5893" width="12.375" style="7" customWidth="1"/>
    <col min="5894" max="5894" width="8.75" style="7" customWidth="1"/>
    <col min="5895" max="5895" width="11.5" style="7" customWidth="1"/>
    <col min="5896" max="5896" width="6.625" style="7" customWidth="1"/>
    <col min="5897" max="5897" width="11.25" style="7" customWidth="1"/>
    <col min="5898" max="6115" width="9" style="7" customWidth="1"/>
    <col min="6116" max="6116" width="9.625" style="7" customWidth="1"/>
    <col min="6117" max="6117" width="7.625" style="7" customWidth="1"/>
    <col min="6118" max="6118" width="18.5" style="7" customWidth="1"/>
    <col min="6119" max="6119" width="6.625" style="7" customWidth="1"/>
    <col min="6120" max="6120" width="12.25" style="7" customWidth="1"/>
    <col min="6121" max="6121" width="8" style="7" customWidth="1"/>
    <col min="6122" max="6122" width="10.625" style="7" customWidth="1"/>
    <col min="6123" max="6123" width="8" style="7" customWidth="1"/>
    <col min="6124" max="6124" width="11.375" style="7" customWidth="1"/>
    <col min="6125" max="6125" width="11.5" style="7" customWidth="1"/>
    <col min="6126" max="6126" width="8" style="7" customWidth="1"/>
    <col min="6127" max="6127" width="11.25" style="7" customWidth="1"/>
    <col min="6128" max="6128" width="8" style="7" customWidth="1"/>
    <col min="6129" max="6129" width="10.875" style="7" customWidth="1"/>
    <col min="6130" max="6130" width="12.25" style="7" customWidth="1"/>
    <col min="6131" max="6131" width="8" style="7" customWidth="1"/>
    <col min="6132" max="6132" width="11.875" style="7" customWidth="1"/>
    <col min="6133" max="6133" width="8" style="7" customWidth="1"/>
    <col min="6134" max="6134" width="11" style="7" customWidth="1"/>
    <col min="6135" max="6135" width="12.25" style="7" customWidth="1"/>
    <col min="6136" max="6136" width="8" style="7" customWidth="1"/>
    <col min="6137" max="6137" width="11.875" style="7" customWidth="1"/>
    <col min="6138" max="6138" width="8" style="7" customWidth="1"/>
    <col min="6139" max="6139" width="12.25" style="7" customWidth="1"/>
    <col min="6140" max="6140" width="14.25" style="7" customWidth="1"/>
    <col min="6141" max="6141" width="8" style="7" customWidth="1"/>
    <col min="6142" max="6142" width="14" style="7" customWidth="1"/>
    <col min="6143" max="6143" width="8.875" style="7" customWidth="1"/>
    <col min="6144" max="6144" width="15.25" style="7" customWidth="1"/>
    <col min="6145" max="6145" width="16.375" style="7" customWidth="1"/>
    <col min="6146" max="6146" width="8.875" style="7" customWidth="1"/>
    <col min="6147" max="6147" width="9.625" style="7" customWidth="1"/>
    <col min="6148" max="6148" width="8.75" style="7" customWidth="1"/>
    <col min="6149" max="6149" width="12.375" style="7" customWidth="1"/>
    <col min="6150" max="6150" width="8.75" style="7" customWidth="1"/>
    <col min="6151" max="6151" width="11.5" style="7" customWidth="1"/>
    <col min="6152" max="6152" width="6.625" style="7" customWidth="1"/>
    <col min="6153" max="6153" width="11.25" style="7" customWidth="1"/>
    <col min="6154" max="6371" width="9" style="7" customWidth="1"/>
    <col min="6372" max="6372" width="9.625" style="7" customWidth="1"/>
    <col min="6373" max="6373" width="7.625" style="7" customWidth="1"/>
    <col min="6374" max="6374" width="18.5" style="7" customWidth="1"/>
    <col min="6375" max="6375" width="6.625" style="7" customWidth="1"/>
    <col min="6376" max="6376" width="12.25" style="7" customWidth="1"/>
    <col min="6377" max="6377" width="8" style="7" customWidth="1"/>
    <col min="6378" max="6378" width="10.625" style="7" customWidth="1"/>
    <col min="6379" max="6379" width="8" style="7" customWidth="1"/>
    <col min="6380" max="6380" width="11.375" style="7" customWidth="1"/>
    <col min="6381" max="6381" width="11.5" style="7" customWidth="1"/>
    <col min="6382" max="6382" width="8" style="7" customWidth="1"/>
    <col min="6383" max="6383" width="11.25" style="7" customWidth="1"/>
    <col min="6384" max="6384" width="8" style="7" customWidth="1"/>
    <col min="6385" max="6385" width="10.875" style="7" customWidth="1"/>
    <col min="6386" max="6386" width="12.25" style="7" customWidth="1"/>
    <col min="6387" max="6387" width="8" style="7" customWidth="1"/>
    <col min="6388" max="6388" width="11.875" style="7" customWidth="1"/>
    <col min="6389" max="6389" width="8" style="7" customWidth="1"/>
    <col min="6390" max="6390" width="11" style="7" customWidth="1"/>
    <col min="6391" max="6391" width="12.25" style="7" customWidth="1"/>
    <col min="6392" max="6392" width="8" style="7" customWidth="1"/>
    <col min="6393" max="6393" width="11.875" style="7" customWidth="1"/>
    <col min="6394" max="6394" width="8" style="7" customWidth="1"/>
    <col min="6395" max="6395" width="12.25" style="7" customWidth="1"/>
    <col min="6396" max="6396" width="14.25" style="7" customWidth="1"/>
    <col min="6397" max="6397" width="8" style="7" customWidth="1"/>
    <col min="6398" max="6398" width="14" style="7" customWidth="1"/>
    <col min="6399" max="6399" width="8.875" style="7" customWidth="1"/>
    <col min="6400" max="6400" width="15.25" style="7" customWidth="1"/>
    <col min="6401" max="6401" width="16.375" style="7" customWidth="1"/>
    <col min="6402" max="6402" width="8.875" style="7" customWidth="1"/>
    <col min="6403" max="6403" width="9.625" style="7" customWidth="1"/>
    <col min="6404" max="6404" width="8.75" style="7" customWidth="1"/>
    <col min="6405" max="6405" width="12.375" style="7" customWidth="1"/>
    <col min="6406" max="6406" width="8.75" style="7" customWidth="1"/>
    <col min="6407" max="6407" width="11.5" style="7" customWidth="1"/>
    <col min="6408" max="6408" width="6.625" style="7" customWidth="1"/>
    <col min="6409" max="6409" width="11.25" style="7" customWidth="1"/>
    <col min="6410" max="6627" width="9" style="7" customWidth="1"/>
    <col min="6628" max="6628" width="9.625" style="7" customWidth="1"/>
    <col min="6629" max="6629" width="7.625" style="7" customWidth="1"/>
    <col min="6630" max="6630" width="18.5" style="7" customWidth="1"/>
    <col min="6631" max="6631" width="6.625" style="7" customWidth="1"/>
    <col min="6632" max="6632" width="12.25" style="7" customWidth="1"/>
    <col min="6633" max="6633" width="8" style="7" customWidth="1"/>
    <col min="6634" max="6634" width="10.625" style="7" customWidth="1"/>
    <col min="6635" max="6635" width="8" style="7" customWidth="1"/>
    <col min="6636" max="6636" width="11.375" style="7" customWidth="1"/>
    <col min="6637" max="6637" width="11.5" style="7" customWidth="1"/>
    <col min="6638" max="6638" width="8" style="7" customWidth="1"/>
    <col min="6639" max="6639" width="11.25" style="7" customWidth="1"/>
    <col min="6640" max="6640" width="8" style="7" customWidth="1"/>
    <col min="6641" max="6641" width="10.875" style="7" customWidth="1"/>
    <col min="6642" max="6642" width="12.25" style="7" customWidth="1"/>
    <col min="6643" max="6643" width="8" style="7" customWidth="1"/>
    <col min="6644" max="6644" width="11.875" style="7" customWidth="1"/>
    <col min="6645" max="6645" width="8" style="7" customWidth="1"/>
    <col min="6646" max="6646" width="11" style="7" customWidth="1"/>
    <col min="6647" max="6647" width="12.25" style="7" customWidth="1"/>
    <col min="6648" max="6648" width="8" style="7" customWidth="1"/>
    <col min="6649" max="6649" width="11.875" style="7" customWidth="1"/>
    <col min="6650" max="6650" width="8" style="7" customWidth="1"/>
    <col min="6651" max="6651" width="12.25" style="7" customWidth="1"/>
    <col min="6652" max="6652" width="14.25" style="7" customWidth="1"/>
    <col min="6653" max="6653" width="8" style="7" customWidth="1"/>
    <col min="6654" max="6654" width="14" style="7" customWidth="1"/>
    <col min="6655" max="6655" width="8.875" style="7" customWidth="1"/>
    <col min="6656" max="6656" width="15.25" style="7" customWidth="1"/>
    <col min="6657" max="6657" width="16.375" style="7" customWidth="1"/>
    <col min="6658" max="6658" width="8.875" style="7" customWidth="1"/>
    <col min="6659" max="6659" width="9.625" style="7" customWidth="1"/>
    <col min="6660" max="6660" width="8.75" style="7" customWidth="1"/>
    <col min="6661" max="6661" width="12.375" style="7" customWidth="1"/>
    <col min="6662" max="6662" width="8.75" style="7" customWidth="1"/>
    <col min="6663" max="6663" width="11.5" style="7" customWidth="1"/>
    <col min="6664" max="6664" width="6.625" style="7" customWidth="1"/>
    <col min="6665" max="6665" width="11.25" style="7" customWidth="1"/>
    <col min="6666" max="6883" width="9" style="7" customWidth="1"/>
    <col min="6884" max="6884" width="9.625" style="7" customWidth="1"/>
    <col min="6885" max="6885" width="7.625" style="7" customWidth="1"/>
    <col min="6886" max="6886" width="18.5" style="7" customWidth="1"/>
    <col min="6887" max="6887" width="6.625" style="7" customWidth="1"/>
    <col min="6888" max="6888" width="12.25" style="7" customWidth="1"/>
    <col min="6889" max="6889" width="8" style="7" customWidth="1"/>
    <col min="6890" max="6890" width="10.625" style="7" customWidth="1"/>
    <col min="6891" max="6891" width="8" style="7" customWidth="1"/>
    <col min="6892" max="6892" width="11.375" style="7" customWidth="1"/>
    <col min="6893" max="6893" width="11.5" style="7" customWidth="1"/>
    <col min="6894" max="6894" width="8" style="7" customWidth="1"/>
    <col min="6895" max="6895" width="11.25" style="7" customWidth="1"/>
    <col min="6896" max="6896" width="8" style="7" customWidth="1"/>
    <col min="6897" max="6897" width="10.875" style="7" customWidth="1"/>
    <col min="6898" max="6898" width="12.25" style="7" customWidth="1"/>
    <col min="6899" max="6899" width="8" style="7" customWidth="1"/>
    <col min="6900" max="6900" width="11.875" style="7" customWidth="1"/>
    <col min="6901" max="6901" width="8" style="7" customWidth="1"/>
    <col min="6902" max="6902" width="11" style="7" customWidth="1"/>
    <col min="6903" max="6903" width="12.25" style="7" customWidth="1"/>
    <col min="6904" max="6904" width="8" style="7" customWidth="1"/>
    <col min="6905" max="6905" width="11.875" style="7" customWidth="1"/>
    <col min="6906" max="6906" width="8" style="7" customWidth="1"/>
    <col min="6907" max="6907" width="12.25" style="7" customWidth="1"/>
    <col min="6908" max="6908" width="14.25" style="7" customWidth="1"/>
    <col min="6909" max="6909" width="8" style="7" customWidth="1"/>
    <col min="6910" max="6910" width="14" style="7" customWidth="1"/>
    <col min="6911" max="6911" width="8.875" style="7" customWidth="1"/>
    <col min="6912" max="6912" width="15.25" style="7" customWidth="1"/>
    <col min="6913" max="6913" width="16.375" style="7" customWidth="1"/>
    <col min="6914" max="6914" width="8.875" style="7" customWidth="1"/>
    <col min="6915" max="6915" width="9.625" style="7" customWidth="1"/>
    <col min="6916" max="6916" width="8.75" style="7" customWidth="1"/>
    <col min="6917" max="6917" width="12.375" style="7" customWidth="1"/>
    <col min="6918" max="6918" width="8.75" style="7" customWidth="1"/>
    <col min="6919" max="6919" width="11.5" style="7" customWidth="1"/>
    <col min="6920" max="6920" width="6.625" style="7" customWidth="1"/>
    <col min="6921" max="6921" width="11.25" style="7" customWidth="1"/>
    <col min="6922" max="7139" width="9" style="7" customWidth="1"/>
    <col min="7140" max="7140" width="9.625" style="7" customWidth="1"/>
    <col min="7141" max="7141" width="7.625" style="7" customWidth="1"/>
    <col min="7142" max="7142" width="18.5" style="7" customWidth="1"/>
    <col min="7143" max="7143" width="6.625" style="7" customWidth="1"/>
    <col min="7144" max="7144" width="12.25" style="7" customWidth="1"/>
    <col min="7145" max="7145" width="8" style="7" customWidth="1"/>
    <col min="7146" max="7146" width="10.625" style="7" customWidth="1"/>
    <col min="7147" max="7147" width="8" style="7" customWidth="1"/>
    <col min="7148" max="7148" width="11.375" style="7" customWidth="1"/>
    <col min="7149" max="7149" width="11.5" style="7" customWidth="1"/>
    <col min="7150" max="7150" width="8" style="7" customWidth="1"/>
    <col min="7151" max="7151" width="11.25" style="7" customWidth="1"/>
    <col min="7152" max="7152" width="8" style="7" customWidth="1"/>
    <col min="7153" max="7153" width="10.875" style="7" customWidth="1"/>
    <col min="7154" max="7154" width="12.25" style="7" customWidth="1"/>
    <col min="7155" max="7155" width="8" style="7" customWidth="1"/>
    <col min="7156" max="7156" width="11.875" style="7" customWidth="1"/>
    <col min="7157" max="7157" width="8" style="7" customWidth="1"/>
    <col min="7158" max="7158" width="11" style="7" customWidth="1"/>
    <col min="7159" max="7159" width="12.25" style="7" customWidth="1"/>
    <col min="7160" max="7160" width="8" style="7" customWidth="1"/>
    <col min="7161" max="7161" width="11.875" style="7" customWidth="1"/>
    <col min="7162" max="7162" width="8" style="7" customWidth="1"/>
    <col min="7163" max="7163" width="12.25" style="7" customWidth="1"/>
    <col min="7164" max="7164" width="14.25" style="7" customWidth="1"/>
    <col min="7165" max="7165" width="8" style="7" customWidth="1"/>
    <col min="7166" max="7166" width="14" style="7" customWidth="1"/>
    <col min="7167" max="7167" width="8.875" style="7" customWidth="1"/>
    <col min="7168" max="7168" width="15.25" style="7" customWidth="1"/>
    <col min="7169" max="7169" width="16.375" style="7" customWidth="1"/>
    <col min="7170" max="7170" width="8.875" style="7" customWidth="1"/>
    <col min="7171" max="7171" width="9.625" style="7" customWidth="1"/>
    <col min="7172" max="7172" width="8.75" style="7" customWidth="1"/>
    <col min="7173" max="7173" width="12.375" style="7" customWidth="1"/>
    <col min="7174" max="7174" width="8.75" style="7" customWidth="1"/>
    <col min="7175" max="7175" width="11.5" style="7" customWidth="1"/>
    <col min="7176" max="7176" width="6.625" style="7" customWidth="1"/>
    <col min="7177" max="7177" width="11.25" style="7" customWidth="1"/>
    <col min="7178" max="7395" width="9" style="7" customWidth="1"/>
    <col min="7396" max="7396" width="9.625" style="7" customWidth="1"/>
    <col min="7397" max="7397" width="7.625" style="7" customWidth="1"/>
    <col min="7398" max="7398" width="18.5" style="7" customWidth="1"/>
    <col min="7399" max="7399" width="6.625" style="7" customWidth="1"/>
    <col min="7400" max="7400" width="12.25" style="7" customWidth="1"/>
    <col min="7401" max="7401" width="8" style="7" customWidth="1"/>
    <col min="7402" max="7402" width="10.625" style="7" customWidth="1"/>
    <col min="7403" max="7403" width="8" style="7" customWidth="1"/>
    <col min="7404" max="7404" width="11.375" style="7" customWidth="1"/>
    <col min="7405" max="7405" width="11.5" style="7" customWidth="1"/>
    <col min="7406" max="7406" width="8" style="7" customWidth="1"/>
    <col min="7407" max="7407" width="11.25" style="7" customWidth="1"/>
    <col min="7408" max="7408" width="8" style="7" customWidth="1"/>
    <col min="7409" max="7409" width="10.875" style="7" customWidth="1"/>
    <col min="7410" max="7410" width="12.25" style="7" customWidth="1"/>
    <col min="7411" max="7411" width="8" style="7" customWidth="1"/>
    <col min="7412" max="7412" width="11.875" style="7" customWidth="1"/>
    <col min="7413" max="7413" width="8" style="7" customWidth="1"/>
    <col min="7414" max="7414" width="11" style="7" customWidth="1"/>
    <col min="7415" max="7415" width="12.25" style="7" customWidth="1"/>
    <col min="7416" max="7416" width="8" style="7" customWidth="1"/>
    <col min="7417" max="7417" width="11.875" style="7" customWidth="1"/>
    <col min="7418" max="7418" width="8" style="7" customWidth="1"/>
    <col min="7419" max="7419" width="12.25" style="7" customWidth="1"/>
    <col min="7420" max="7420" width="14.25" style="7" customWidth="1"/>
    <col min="7421" max="7421" width="8" style="7" customWidth="1"/>
    <col min="7422" max="7422" width="14" style="7" customWidth="1"/>
    <col min="7423" max="7423" width="8.875" style="7" customWidth="1"/>
    <col min="7424" max="7424" width="15.25" style="7" customWidth="1"/>
    <col min="7425" max="7425" width="16.375" style="7" customWidth="1"/>
    <col min="7426" max="7426" width="8.875" style="7" customWidth="1"/>
    <col min="7427" max="7427" width="9.625" style="7" customWidth="1"/>
    <col min="7428" max="7428" width="8.75" style="7" customWidth="1"/>
    <col min="7429" max="7429" width="12.375" style="7" customWidth="1"/>
    <col min="7430" max="7430" width="8.75" style="7" customWidth="1"/>
    <col min="7431" max="7431" width="11.5" style="7" customWidth="1"/>
    <col min="7432" max="7432" width="6.625" style="7" customWidth="1"/>
    <col min="7433" max="7433" width="11.25" style="7" customWidth="1"/>
    <col min="7434" max="7651" width="9" style="7" customWidth="1"/>
    <col min="7652" max="7652" width="9.625" style="7" customWidth="1"/>
    <col min="7653" max="7653" width="7.625" style="7" customWidth="1"/>
    <col min="7654" max="7654" width="18.5" style="7" customWidth="1"/>
    <col min="7655" max="7655" width="6.625" style="7" customWidth="1"/>
    <col min="7656" max="7656" width="12.25" style="7" customWidth="1"/>
    <col min="7657" max="7657" width="8" style="7" customWidth="1"/>
    <col min="7658" max="7658" width="10.625" style="7" customWidth="1"/>
    <col min="7659" max="7659" width="8" style="7" customWidth="1"/>
    <col min="7660" max="7660" width="11.375" style="7" customWidth="1"/>
    <col min="7661" max="7661" width="11.5" style="7" customWidth="1"/>
    <col min="7662" max="7662" width="8" style="7" customWidth="1"/>
    <col min="7663" max="7663" width="11.25" style="7" customWidth="1"/>
    <col min="7664" max="7664" width="8" style="7" customWidth="1"/>
    <col min="7665" max="7665" width="10.875" style="7" customWidth="1"/>
    <col min="7666" max="7666" width="12.25" style="7" customWidth="1"/>
    <col min="7667" max="7667" width="8" style="7" customWidth="1"/>
    <col min="7668" max="7668" width="11.875" style="7" customWidth="1"/>
    <col min="7669" max="7669" width="8" style="7" customWidth="1"/>
    <col min="7670" max="7670" width="11" style="7" customWidth="1"/>
    <col min="7671" max="7671" width="12.25" style="7" customWidth="1"/>
    <col min="7672" max="7672" width="8" style="7" customWidth="1"/>
    <col min="7673" max="7673" width="11.875" style="7" customWidth="1"/>
    <col min="7674" max="7674" width="8" style="7" customWidth="1"/>
    <col min="7675" max="7675" width="12.25" style="7" customWidth="1"/>
    <col min="7676" max="7676" width="14.25" style="7" customWidth="1"/>
    <col min="7677" max="7677" width="8" style="7" customWidth="1"/>
    <col min="7678" max="7678" width="14" style="7" customWidth="1"/>
    <col min="7679" max="7679" width="8.875" style="7" customWidth="1"/>
    <col min="7680" max="7680" width="15.25" style="7" customWidth="1"/>
    <col min="7681" max="7681" width="16.375" style="7" customWidth="1"/>
    <col min="7682" max="7682" width="8.875" style="7" customWidth="1"/>
    <col min="7683" max="7683" width="9.625" style="7" customWidth="1"/>
    <col min="7684" max="7684" width="8.75" style="7" customWidth="1"/>
    <col min="7685" max="7685" width="12.375" style="7" customWidth="1"/>
    <col min="7686" max="7686" width="8.75" style="7" customWidth="1"/>
    <col min="7687" max="7687" width="11.5" style="7" customWidth="1"/>
    <col min="7688" max="7688" width="6.625" style="7" customWidth="1"/>
    <col min="7689" max="7689" width="11.25" style="7" customWidth="1"/>
    <col min="7690" max="7907" width="9" style="7" customWidth="1"/>
    <col min="7908" max="7908" width="9.625" style="7" customWidth="1"/>
    <col min="7909" max="7909" width="7.625" style="7" customWidth="1"/>
    <col min="7910" max="7910" width="18.5" style="7" customWidth="1"/>
    <col min="7911" max="7911" width="6.625" style="7" customWidth="1"/>
    <col min="7912" max="7912" width="12.25" style="7" customWidth="1"/>
    <col min="7913" max="7913" width="8" style="7" customWidth="1"/>
    <col min="7914" max="7914" width="10.625" style="7" customWidth="1"/>
    <col min="7915" max="7915" width="8" style="7" customWidth="1"/>
    <col min="7916" max="7916" width="11.375" style="7" customWidth="1"/>
    <col min="7917" max="7917" width="11.5" style="7" customWidth="1"/>
    <col min="7918" max="7918" width="8" style="7" customWidth="1"/>
    <col min="7919" max="7919" width="11.25" style="7" customWidth="1"/>
    <col min="7920" max="7920" width="8" style="7" customWidth="1"/>
    <col min="7921" max="7921" width="10.875" style="7" customWidth="1"/>
    <col min="7922" max="7922" width="12.25" style="7" customWidth="1"/>
    <col min="7923" max="7923" width="8" style="7" customWidth="1"/>
    <col min="7924" max="7924" width="11.875" style="7" customWidth="1"/>
    <col min="7925" max="7925" width="8" style="7" customWidth="1"/>
    <col min="7926" max="7926" width="11" style="7" customWidth="1"/>
    <col min="7927" max="7927" width="12.25" style="7" customWidth="1"/>
    <col min="7928" max="7928" width="8" style="7" customWidth="1"/>
    <col min="7929" max="7929" width="11.875" style="7" customWidth="1"/>
    <col min="7930" max="7930" width="8" style="7" customWidth="1"/>
    <col min="7931" max="7931" width="12.25" style="7" customWidth="1"/>
    <col min="7932" max="7932" width="14.25" style="7" customWidth="1"/>
    <col min="7933" max="7933" width="8" style="7" customWidth="1"/>
    <col min="7934" max="7934" width="14" style="7" customWidth="1"/>
    <col min="7935" max="7935" width="8.875" style="7" customWidth="1"/>
    <col min="7936" max="7936" width="15.25" style="7" customWidth="1"/>
    <col min="7937" max="7937" width="16.375" style="7" customWidth="1"/>
    <col min="7938" max="7938" width="8.875" style="7" customWidth="1"/>
    <col min="7939" max="7939" width="9.625" style="7" customWidth="1"/>
    <col min="7940" max="7940" width="8.75" style="7" customWidth="1"/>
    <col min="7941" max="7941" width="12.375" style="7" customWidth="1"/>
    <col min="7942" max="7942" width="8.75" style="7" customWidth="1"/>
    <col min="7943" max="7943" width="11.5" style="7" customWidth="1"/>
    <col min="7944" max="7944" width="6.625" style="7" customWidth="1"/>
    <col min="7945" max="7945" width="11.25" style="7" customWidth="1"/>
    <col min="7946" max="8163" width="9" style="7" customWidth="1"/>
    <col min="8164" max="8164" width="9.625" style="7" customWidth="1"/>
    <col min="8165" max="8165" width="7.625" style="7" customWidth="1"/>
    <col min="8166" max="8166" width="18.5" style="7" customWidth="1"/>
    <col min="8167" max="8167" width="6.625" style="7" customWidth="1"/>
    <col min="8168" max="8168" width="12.25" style="7" customWidth="1"/>
    <col min="8169" max="8169" width="8" style="7" customWidth="1"/>
    <col min="8170" max="8170" width="10.625" style="7" customWidth="1"/>
    <col min="8171" max="8171" width="8" style="7" customWidth="1"/>
    <col min="8172" max="8172" width="11.375" style="7" customWidth="1"/>
    <col min="8173" max="8173" width="11.5" style="7" customWidth="1"/>
    <col min="8174" max="8174" width="8" style="7" customWidth="1"/>
    <col min="8175" max="8175" width="11.25" style="7" customWidth="1"/>
    <col min="8176" max="8176" width="8" style="7" customWidth="1"/>
    <col min="8177" max="8177" width="10.875" style="7" customWidth="1"/>
    <col min="8178" max="8178" width="12.25" style="7" customWidth="1"/>
    <col min="8179" max="8179" width="8" style="7" customWidth="1"/>
    <col min="8180" max="8180" width="11.875" style="7" customWidth="1"/>
    <col min="8181" max="8181" width="8" style="7" customWidth="1"/>
    <col min="8182" max="8182" width="11" style="7" customWidth="1"/>
    <col min="8183" max="8183" width="12.25" style="7" customWidth="1"/>
    <col min="8184" max="8184" width="8" style="7" customWidth="1"/>
    <col min="8185" max="8185" width="11.875" style="7" customWidth="1"/>
    <col min="8186" max="8186" width="8" style="7" customWidth="1"/>
    <col min="8187" max="8187" width="12.25" style="7" customWidth="1"/>
    <col min="8188" max="8188" width="14.25" style="7" customWidth="1"/>
    <col min="8189" max="8189" width="8" style="7" customWidth="1"/>
    <col min="8190" max="8190" width="14" style="7" customWidth="1"/>
    <col min="8191" max="8191" width="8.875" style="7" customWidth="1"/>
    <col min="8192" max="8192" width="15.25" style="7" customWidth="1"/>
    <col min="8193" max="8193" width="16.375" style="7" customWidth="1"/>
    <col min="8194" max="8194" width="8.875" style="7" customWidth="1"/>
    <col min="8195" max="8195" width="9.625" style="7" customWidth="1"/>
    <col min="8196" max="8196" width="8.75" style="7" customWidth="1"/>
    <col min="8197" max="8197" width="12.375" style="7" customWidth="1"/>
    <col min="8198" max="8198" width="8.75" style="7" customWidth="1"/>
    <col min="8199" max="8199" width="11.5" style="7" customWidth="1"/>
    <col min="8200" max="8200" width="6.625" style="7" customWidth="1"/>
    <col min="8201" max="8201" width="11.25" style="7" customWidth="1"/>
    <col min="8202" max="8419" width="9" style="7" customWidth="1"/>
    <col min="8420" max="8420" width="9.625" style="7" customWidth="1"/>
    <col min="8421" max="8421" width="7.625" style="7" customWidth="1"/>
    <col min="8422" max="8422" width="18.5" style="7" customWidth="1"/>
    <col min="8423" max="8423" width="6.625" style="7" customWidth="1"/>
    <col min="8424" max="8424" width="12.25" style="7" customWidth="1"/>
    <col min="8425" max="8425" width="8" style="7" customWidth="1"/>
    <col min="8426" max="8426" width="10.625" style="7" customWidth="1"/>
    <col min="8427" max="8427" width="8" style="7" customWidth="1"/>
    <col min="8428" max="8428" width="11.375" style="7" customWidth="1"/>
    <col min="8429" max="8429" width="11.5" style="7" customWidth="1"/>
    <col min="8430" max="8430" width="8" style="7" customWidth="1"/>
    <col min="8431" max="8431" width="11.25" style="7" customWidth="1"/>
    <col min="8432" max="8432" width="8" style="7" customWidth="1"/>
    <col min="8433" max="8433" width="10.875" style="7" customWidth="1"/>
    <col min="8434" max="8434" width="12.25" style="7" customWidth="1"/>
    <col min="8435" max="8435" width="8" style="7" customWidth="1"/>
    <col min="8436" max="8436" width="11.875" style="7" customWidth="1"/>
    <col min="8437" max="8437" width="8" style="7" customWidth="1"/>
    <col min="8438" max="8438" width="11" style="7" customWidth="1"/>
    <col min="8439" max="8439" width="12.25" style="7" customWidth="1"/>
    <col min="8440" max="8440" width="8" style="7" customWidth="1"/>
    <col min="8441" max="8441" width="11.875" style="7" customWidth="1"/>
    <col min="8442" max="8442" width="8" style="7" customWidth="1"/>
    <col min="8443" max="8443" width="12.25" style="7" customWidth="1"/>
    <col min="8444" max="8444" width="14.25" style="7" customWidth="1"/>
    <col min="8445" max="8445" width="8" style="7" customWidth="1"/>
    <col min="8446" max="8446" width="14" style="7" customWidth="1"/>
    <col min="8447" max="8447" width="8.875" style="7" customWidth="1"/>
    <col min="8448" max="8448" width="15.25" style="7" customWidth="1"/>
    <col min="8449" max="8449" width="16.375" style="7" customWidth="1"/>
    <col min="8450" max="8450" width="8.875" style="7" customWidth="1"/>
    <col min="8451" max="8451" width="9.625" style="7" customWidth="1"/>
    <col min="8452" max="8452" width="8.75" style="7" customWidth="1"/>
    <col min="8453" max="8453" width="12.375" style="7" customWidth="1"/>
    <col min="8454" max="8454" width="8.75" style="7" customWidth="1"/>
    <col min="8455" max="8455" width="11.5" style="7" customWidth="1"/>
    <col min="8456" max="8456" width="6.625" style="7" customWidth="1"/>
    <col min="8457" max="8457" width="11.25" style="7" customWidth="1"/>
    <col min="8458" max="8675" width="9" style="7" customWidth="1"/>
    <col min="8676" max="8676" width="9.625" style="7" customWidth="1"/>
    <col min="8677" max="8677" width="7.625" style="7" customWidth="1"/>
    <col min="8678" max="8678" width="18.5" style="7" customWidth="1"/>
    <col min="8679" max="8679" width="6.625" style="7" customWidth="1"/>
    <col min="8680" max="8680" width="12.25" style="7" customWidth="1"/>
    <col min="8681" max="8681" width="8" style="7" customWidth="1"/>
    <col min="8682" max="8682" width="10.625" style="7" customWidth="1"/>
    <col min="8683" max="8683" width="8" style="7" customWidth="1"/>
    <col min="8684" max="8684" width="11.375" style="7" customWidth="1"/>
    <col min="8685" max="8685" width="11.5" style="7" customWidth="1"/>
    <col min="8686" max="8686" width="8" style="7" customWidth="1"/>
    <col min="8687" max="8687" width="11.25" style="7" customWidth="1"/>
    <col min="8688" max="8688" width="8" style="7" customWidth="1"/>
    <col min="8689" max="8689" width="10.875" style="7" customWidth="1"/>
    <col min="8690" max="8690" width="12.25" style="7" customWidth="1"/>
    <col min="8691" max="8691" width="8" style="7" customWidth="1"/>
    <col min="8692" max="8692" width="11.875" style="7" customWidth="1"/>
    <col min="8693" max="8693" width="8" style="7" customWidth="1"/>
    <col min="8694" max="8694" width="11" style="7" customWidth="1"/>
    <col min="8695" max="8695" width="12.25" style="7" customWidth="1"/>
    <col min="8696" max="8696" width="8" style="7" customWidth="1"/>
    <col min="8697" max="8697" width="11.875" style="7" customWidth="1"/>
    <col min="8698" max="8698" width="8" style="7" customWidth="1"/>
    <col min="8699" max="8699" width="12.25" style="7" customWidth="1"/>
    <col min="8700" max="8700" width="14.25" style="7" customWidth="1"/>
    <col min="8701" max="8701" width="8" style="7" customWidth="1"/>
    <col min="8702" max="8702" width="14" style="7" customWidth="1"/>
    <col min="8703" max="8703" width="8.875" style="7" customWidth="1"/>
    <col min="8704" max="8704" width="15.25" style="7" customWidth="1"/>
    <col min="8705" max="8705" width="16.375" style="7" customWidth="1"/>
    <col min="8706" max="8706" width="8.875" style="7" customWidth="1"/>
    <col min="8707" max="8707" width="9.625" style="7" customWidth="1"/>
    <col min="8708" max="8708" width="8.75" style="7" customWidth="1"/>
    <col min="8709" max="8709" width="12.375" style="7" customWidth="1"/>
    <col min="8710" max="8710" width="8.75" style="7" customWidth="1"/>
    <col min="8711" max="8711" width="11.5" style="7" customWidth="1"/>
    <col min="8712" max="8712" width="6.625" style="7" customWidth="1"/>
    <col min="8713" max="8713" width="11.25" style="7" customWidth="1"/>
    <col min="8714" max="8931" width="9" style="7" customWidth="1"/>
    <col min="8932" max="8932" width="9.625" style="7" customWidth="1"/>
    <col min="8933" max="8933" width="7.625" style="7" customWidth="1"/>
    <col min="8934" max="8934" width="18.5" style="7" customWidth="1"/>
    <col min="8935" max="8935" width="6.625" style="7" customWidth="1"/>
    <col min="8936" max="8936" width="12.25" style="7" customWidth="1"/>
    <col min="8937" max="8937" width="8" style="7" customWidth="1"/>
    <col min="8938" max="8938" width="10.625" style="7" customWidth="1"/>
    <col min="8939" max="8939" width="8" style="7" customWidth="1"/>
    <col min="8940" max="8940" width="11.375" style="7" customWidth="1"/>
    <col min="8941" max="8941" width="11.5" style="7" customWidth="1"/>
    <col min="8942" max="8942" width="8" style="7" customWidth="1"/>
    <col min="8943" max="8943" width="11.25" style="7" customWidth="1"/>
    <col min="8944" max="8944" width="8" style="7" customWidth="1"/>
    <col min="8945" max="8945" width="10.875" style="7" customWidth="1"/>
    <col min="8946" max="8946" width="12.25" style="7" customWidth="1"/>
    <col min="8947" max="8947" width="8" style="7" customWidth="1"/>
    <col min="8948" max="8948" width="11.875" style="7" customWidth="1"/>
    <col min="8949" max="8949" width="8" style="7" customWidth="1"/>
    <col min="8950" max="8950" width="11" style="7" customWidth="1"/>
    <col min="8951" max="8951" width="12.25" style="7" customWidth="1"/>
    <col min="8952" max="8952" width="8" style="7" customWidth="1"/>
    <col min="8953" max="8953" width="11.875" style="7" customWidth="1"/>
    <col min="8954" max="8954" width="8" style="7" customWidth="1"/>
    <col min="8955" max="8955" width="12.25" style="7" customWidth="1"/>
    <col min="8956" max="8956" width="14.25" style="7" customWidth="1"/>
    <col min="8957" max="8957" width="8" style="7" customWidth="1"/>
    <col min="8958" max="8958" width="14" style="7" customWidth="1"/>
    <col min="8959" max="8959" width="8.875" style="7" customWidth="1"/>
    <col min="8960" max="8960" width="15.25" style="7" customWidth="1"/>
    <col min="8961" max="8961" width="16.375" style="7" customWidth="1"/>
    <col min="8962" max="8962" width="8.875" style="7" customWidth="1"/>
    <col min="8963" max="8963" width="9.625" style="7" customWidth="1"/>
    <col min="8964" max="8964" width="8.75" style="7" customWidth="1"/>
    <col min="8965" max="8965" width="12.375" style="7" customWidth="1"/>
    <col min="8966" max="8966" width="8.75" style="7" customWidth="1"/>
    <col min="8967" max="8967" width="11.5" style="7" customWidth="1"/>
    <col min="8968" max="8968" width="6.625" style="7" customWidth="1"/>
    <col min="8969" max="8969" width="11.25" style="7" customWidth="1"/>
    <col min="8970" max="9187" width="9" style="7" customWidth="1"/>
    <col min="9188" max="9188" width="9.625" style="7" customWidth="1"/>
    <col min="9189" max="9189" width="7.625" style="7" customWidth="1"/>
    <col min="9190" max="9190" width="18.5" style="7" customWidth="1"/>
    <col min="9191" max="9191" width="6.625" style="7" customWidth="1"/>
    <col min="9192" max="9192" width="12.25" style="7" customWidth="1"/>
    <col min="9193" max="9193" width="8" style="7" customWidth="1"/>
    <col min="9194" max="9194" width="10.625" style="7" customWidth="1"/>
    <col min="9195" max="9195" width="8" style="7" customWidth="1"/>
    <col min="9196" max="9196" width="11.375" style="7" customWidth="1"/>
    <col min="9197" max="9197" width="11.5" style="7" customWidth="1"/>
    <col min="9198" max="9198" width="8" style="7" customWidth="1"/>
    <col min="9199" max="9199" width="11.25" style="7" customWidth="1"/>
    <col min="9200" max="9200" width="8" style="7" customWidth="1"/>
    <col min="9201" max="9201" width="10.875" style="7" customWidth="1"/>
    <col min="9202" max="9202" width="12.25" style="7" customWidth="1"/>
    <col min="9203" max="9203" width="8" style="7" customWidth="1"/>
    <col min="9204" max="9204" width="11.875" style="7" customWidth="1"/>
    <col min="9205" max="9205" width="8" style="7" customWidth="1"/>
    <col min="9206" max="9206" width="11" style="7" customWidth="1"/>
    <col min="9207" max="9207" width="12.25" style="7" customWidth="1"/>
    <col min="9208" max="9208" width="8" style="7" customWidth="1"/>
    <col min="9209" max="9209" width="11.875" style="7" customWidth="1"/>
    <col min="9210" max="9210" width="8" style="7" customWidth="1"/>
    <col min="9211" max="9211" width="12.25" style="7" customWidth="1"/>
    <col min="9212" max="9212" width="14.25" style="7" customWidth="1"/>
    <col min="9213" max="9213" width="8" style="7" customWidth="1"/>
    <col min="9214" max="9214" width="14" style="7" customWidth="1"/>
    <col min="9215" max="9215" width="8.875" style="7" customWidth="1"/>
    <col min="9216" max="9216" width="15.25" style="7" customWidth="1"/>
    <col min="9217" max="9217" width="16.375" style="7" customWidth="1"/>
    <col min="9218" max="9218" width="8.875" style="7" customWidth="1"/>
    <col min="9219" max="9219" width="9.625" style="7" customWidth="1"/>
    <col min="9220" max="9220" width="8.75" style="7" customWidth="1"/>
    <col min="9221" max="9221" width="12.375" style="7" customWidth="1"/>
    <col min="9222" max="9222" width="8.75" style="7" customWidth="1"/>
    <col min="9223" max="9223" width="11.5" style="7" customWidth="1"/>
    <col min="9224" max="9224" width="6.625" style="7" customWidth="1"/>
    <col min="9225" max="9225" width="11.25" style="7" customWidth="1"/>
    <col min="9226" max="9443" width="9" style="7" customWidth="1"/>
    <col min="9444" max="9444" width="9.625" style="7" customWidth="1"/>
    <col min="9445" max="9445" width="7.625" style="7" customWidth="1"/>
    <col min="9446" max="9446" width="18.5" style="7" customWidth="1"/>
    <col min="9447" max="9447" width="6.625" style="7" customWidth="1"/>
    <col min="9448" max="9448" width="12.25" style="7" customWidth="1"/>
    <col min="9449" max="9449" width="8" style="7" customWidth="1"/>
    <col min="9450" max="9450" width="10.625" style="7" customWidth="1"/>
    <col min="9451" max="9451" width="8" style="7" customWidth="1"/>
    <col min="9452" max="9452" width="11.375" style="7" customWidth="1"/>
    <col min="9453" max="9453" width="11.5" style="7" customWidth="1"/>
    <col min="9454" max="9454" width="8" style="7" customWidth="1"/>
    <col min="9455" max="9455" width="11.25" style="7" customWidth="1"/>
    <col min="9456" max="9456" width="8" style="7" customWidth="1"/>
    <col min="9457" max="9457" width="10.875" style="7" customWidth="1"/>
    <col min="9458" max="9458" width="12.25" style="7" customWidth="1"/>
    <col min="9459" max="9459" width="8" style="7" customWidth="1"/>
    <col min="9460" max="9460" width="11.875" style="7" customWidth="1"/>
    <col min="9461" max="9461" width="8" style="7" customWidth="1"/>
    <col min="9462" max="9462" width="11" style="7" customWidth="1"/>
    <col min="9463" max="9463" width="12.25" style="7" customWidth="1"/>
    <col min="9464" max="9464" width="8" style="7" customWidth="1"/>
    <col min="9465" max="9465" width="11.875" style="7" customWidth="1"/>
    <col min="9466" max="9466" width="8" style="7" customWidth="1"/>
    <col min="9467" max="9467" width="12.25" style="7" customWidth="1"/>
    <col min="9468" max="9468" width="14.25" style="7" customWidth="1"/>
    <col min="9469" max="9469" width="8" style="7" customWidth="1"/>
    <col min="9470" max="9470" width="14" style="7" customWidth="1"/>
    <col min="9471" max="9471" width="8.875" style="7" customWidth="1"/>
    <col min="9472" max="9472" width="15.25" style="7" customWidth="1"/>
    <col min="9473" max="9473" width="16.375" style="7" customWidth="1"/>
    <col min="9474" max="9474" width="8.875" style="7" customWidth="1"/>
    <col min="9475" max="9475" width="9.625" style="7" customWidth="1"/>
    <col min="9476" max="9476" width="8.75" style="7" customWidth="1"/>
    <col min="9477" max="9477" width="12.375" style="7" customWidth="1"/>
    <col min="9478" max="9478" width="8.75" style="7" customWidth="1"/>
    <col min="9479" max="9479" width="11.5" style="7" customWidth="1"/>
    <col min="9480" max="9480" width="6.625" style="7" customWidth="1"/>
    <col min="9481" max="9481" width="11.25" style="7" customWidth="1"/>
    <col min="9482" max="9699" width="9" style="7" customWidth="1"/>
    <col min="9700" max="9700" width="9.625" style="7" customWidth="1"/>
    <col min="9701" max="9701" width="7.625" style="7" customWidth="1"/>
    <col min="9702" max="9702" width="18.5" style="7" customWidth="1"/>
    <col min="9703" max="9703" width="6.625" style="7" customWidth="1"/>
    <col min="9704" max="9704" width="12.25" style="7" customWidth="1"/>
    <col min="9705" max="9705" width="8" style="7" customWidth="1"/>
    <col min="9706" max="9706" width="10.625" style="7" customWidth="1"/>
    <col min="9707" max="9707" width="8" style="7" customWidth="1"/>
    <col min="9708" max="9708" width="11.375" style="7" customWidth="1"/>
    <col min="9709" max="9709" width="11.5" style="7" customWidth="1"/>
    <col min="9710" max="9710" width="8" style="7" customWidth="1"/>
    <col min="9711" max="9711" width="11.25" style="7" customWidth="1"/>
    <col min="9712" max="9712" width="8" style="7" customWidth="1"/>
    <col min="9713" max="9713" width="10.875" style="7" customWidth="1"/>
    <col min="9714" max="9714" width="12.25" style="7" customWidth="1"/>
    <col min="9715" max="9715" width="8" style="7" customWidth="1"/>
    <col min="9716" max="9716" width="11.875" style="7" customWidth="1"/>
    <col min="9717" max="9717" width="8" style="7" customWidth="1"/>
    <col min="9718" max="9718" width="11" style="7" customWidth="1"/>
    <col min="9719" max="9719" width="12.25" style="7" customWidth="1"/>
    <col min="9720" max="9720" width="8" style="7" customWidth="1"/>
    <col min="9721" max="9721" width="11.875" style="7" customWidth="1"/>
    <col min="9722" max="9722" width="8" style="7" customWidth="1"/>
    <col min="9723" max="9723" width="12.25" style="7" customWidth="1"/>
    <col min="9724" max="9724" width="14.25" style="7" customWidth="1"/>
    <col min="9725" max="9725" width="8" style="7" customWidth="1"/>
    <col min="9726" max="9726" width="14" style="7" customWidth="1"/>
    <col min="9727" max="9727" width="8.875" style="7" customWidth="1"/>
    <col min="9728" max="9728" width="15.25" style="7" customWidth="1"/>
    <col min="9729" max="9729" width="16.375" style="7" customWidth="1"/>
    <col min="9730" max="9730" width="8.875" style="7" customWidth="1"/>
    <col min="9731" max="9731" width="9.625" style="7" customWidth="1"/>
    <col min="9732" max="9732" width="8.75" style="7" customWidth="1"/>
    <col min="9733" max="9733" width="12.375" style="7" customWidth="1"/>
    <col min="9734" max="9734" width="8.75" style="7" customWidth="1"/>
    <col min="9735" max="9735" width="11.5" style="7" customWidth="1"/>
    <col min="9736" max="9736" width="6.625" style="7" customWidth="1"/>
    <col min="9737" max="9737" width="11.25" style="7" customWidth="1"/>
    <col min="9738" max="9955" width="9" style="7" customWidth="1"/>
    <col min="9956" max="9956" width="9.625" style="7" customWidth="1"/>
    <col min="9957" max="9957" width="7.625" style="7" customWidth="1"/>
    <col min="9958" max="9958" width="18.5" style="7" customWidth="1"/>
    <col min="9959" max="9959" width="6.625" style="7" customWidth="1"/>
    <col min="9960" max="9960" width="12.25" style="7" customWidth="1"/>
    <col min="9961" max="9961" width="8" style="7" customWidth="1"/>
    <col min="9962" max="9962" width="10.625" style="7" customWidth="1"/>
    <col min="9963" max="9963" width="8" style="7" customWidth="1"/>
    <col min="9964" max="9964" width="11.375" style="7" customWidth="1"/>
    <col min="9965" max="9965" width="11.5" style="7" customWidth="1"/>
    <col min="9966" max="9966" width="8" style="7" customWidth="1"/>
    <col min="9967" max="9967" width="11.25" style="7" customWidth="1"/>
    <col min="9968" max="9968" width="8" style="7" customWidth="1"/>
    <col min="9969" max="9969" width="10.875" style="7" customWidth="1"/>
    <col min="9970" max="9970" width="12.25" style="7" customWidth="1"/>
    <col min="9971" max="9971" width="8" style="7" customWidth="1"/>
    <col min="9972" max="9972" width="11.875" style="7" customWidth="1"/>
    <col min="9973" max="9973" width="8" style="7" customWidth="1"/>
    <col min="9974" max="9974" width="11" style="7" customWidth="1"/>
    <col min="9975" max="9975" width="12.25" style="7" customWidth="1"/>
    <col min="9976" max="9976" width="8" style="7" customWidth="1"/>
    <col min="9977" max="9977" width="11.875" style="7" customWidth="1"/>
    <col min="9978" max="9978" width="8" style="7" customWidth="1"/>
    <col min="9979" max="9979" width="12.25" style="7" customWidth="1"/>
    <col min="9980" max="9980" width="14.25" style="7" customWidth="1"/>
    <col min="9981" max="9981" width="8" style="7" customWidth="1"/>
    <col min="9982" max="9982" width="14" style="7" customWidth="1"/>
    <col min="9983" max="9983" width="8.875" style="7" customWidth="1"/>
    <col min="9984" max="9984" width="15.25" style="7" customWidth="1"/>
    <col min="9985" max="9985" width="16.375" style="7" customWidth="1"/>
    <col min="9986" max="9986" width="8.875" style="7" customWidth="1"/>
    <col min="9987" max="9987" width="9.625" style="7" customWidth="1"/>
    <col min="9988" max="9988" width="8.75" style="7" customWidth="1"/>
    <col min="9989" max="9989" width="12.375" style="7" customWidth="1"/>
    <col min="9990" max="9990" width="8.75" style="7" customWidth="1"/>
    <col min="9991" max="9991" width="11.5" style="7" customWidth="1"/>
    <col min="9992" max="9992" width="6.625" style="7" customWidth="1"/>
    <col min="9993" max="9993" width="11.25" style="7" customWidth="1"/>
    <col min="9994" max="10211" width="9" style="7" customWidth="1"/>
    <col min="10212" max="10212" width="9.625" style="7" customWidth="1"/>
    <col min="10213" max="10213" width="7.625" style="7" customWidth="1"/>
    <col min="10214" max="10214" width="18.5" style="7" customWidth="1"/>
    <col min="10215" max="10215" width="6.625" style="7" customWidth="1"/>
    <col min="10216" max="10216" width="12.25" style="7" customWidth="1"/>
    <col min="10217" max="10217" width="8" style="7" customWidth="1"/>
    <col min="10218" max="10218" width="10.625" style="7" customWidth="1"/>
    <col min="10219" max="10219" width="8" style="7" customWidth="1"/>
    <col min="10220" max="10220" width="11.375" style="7" customWidth="1"/>
    <col min="10221" max="10221" width="11.5" style="7" customWidth="1"/>
    <col min="10222" max="10222" width="8" style="7" customWidth="1"/>
    <col min="10223" max="10223" width="11.25" style="7" customWidth="1"/>
    <col min="10224" max="10224" width="8" style="7" customWidth="1"/>
    <col min="10225" max="10225" width="10.875" style="7" customWidth="1"/>
    <col min="10226" max="10226" width="12.25" style="7" customWidth="1"/>
    <col min="10227" max="10227" width="8" style="7" customWidth="1"/>
    <col min="10228" max="10228" width="11.875" style="7" customWidth="1"/>
    <col min="10229" max="10229" width="8" style="7" customWidth="1"/>
    <col min="10230" max="10230" width="11" style="7" customWidth="1"/>
    <col min="10231" max="10231" width="12.25" style="7" customWidth="1"/>
    <col min="10232" max="10232" width="8" style="7" customWidth="1"/>
    <col min="10233" max="10233" width="11.875" style="7" customWidth="1"/>
    <col min="10234" max="10234" width="8" style="7" customWidth="1"/>
    <col min="10235" max="10235" width="12.25" style="7" customWidth="1"/>
    <col min="10236" max="10236" width="14.25" style="7" customWidth="1"/>
    <col min="10237" max="10237" width="8" style="7" customWidth="1"/>
    <col min="10238" max="10238" width="14" style="7" customWidth="1"/>
    <col min="10239" max="10239" width="8.875" style="7" customWidth="1"/>
    <col min="10240" max="10240" width="15.25" style="7" customWidth="1"/>
    <col min="10241" max="10241" width="16.375" style="7" customWidth="1"/>
    <col min="10242" max="10242" width="8.875" style="7" customWidth="1"/>
    <col min="10243" max="10243" width="9.625" style="7" customWidth="1"/>
    <col min="10244" max="10244" width="8.75" style="7" customWidth="1"/>
    <col min="10245" max="10245" width="12.375" style="7" customWidth="1"/>
    <col min="10246" max="10246" width="8.75" style="7" customWidth="1"/>
    <col min="10247" max="10247" width="11.5" style="7" customWidth="1"/>
    <col min="10248" max="10248" width="6.625" style="7" customWidth="1"/>
    <col min="10249" max="10249" width="11.25" style="7" customWidth="1"/>
    <col min="10250" max="10467" width="9" style="7" customWidth="1"/>
    <col min="10468" max="10468" width="9.625" style="7" customWidth="1"/>
    <col min="10469" max="10469" width="7.625" style="7" customWidth="1"/>
    <col min="10470" max="10470" width="18.5" style="7" customWidth="1"/>
    <col min="10471" max="10471" width="6.625" style="7" customWidth="1"/>
    <col min="10472" max="10472" width="12.25" style="7" customWidth="1"/>
    <col min="10473" max="10473" width="8" style="7" customWidth="1"/>
    <col min="10474" max="10474" width="10.625" style="7" customWidth="1"/>
    <col min="10475" max="10475" width="8" style="7" customWidth="1"/>
    <col min="10476" max="10476" width="11.375" style="7" customWidth="1"/>
    <col min="10477" max="10477" width="11.5" style="7" customWidth="1"/>
    <col min="10478" max="10478" width="8" style="7" customWidth="1"/>
    <col min="10479" max="10479" width="11.25" style="7" customWidth="1"/>
    <col min="10480" max="10480" width="8" style="7" customWidth="1"/>
    <col min="10481" max="10481" width="10.875" style="7" customWidth="1"/>
    <col min="10482" max="10482" width="12.25" style="7" customWidth="1"/>
    <col min="10483" max="10483" width="8" style="7" customWidth="1"/>
    <col min="10484" max="10484" width="11.875" style="7" customWidth="1"/>
    <col min="10485" max="10485" width="8" style="7" customWidth="1"/>
    <col min="10486" max="10486" width="11" style="7" customWidth="1"/>
    <col min="10487" max="10487" width="12.25" style="7" customWidth="1"/>
    <col min="10488" max="10488" width="8" style="7" customWidth="1"/>
    <col min="10489" max="10489" width="11.875" style="7" customWidth="1"/>
    <col min="10490" max="10490" width="8" style="7" customWidth="1"/>
    <col min="10491" max="10491" width="12.25" style="7" customWidth="1"/>
    <col min="10492" max="10492" width="14.25" style="7" customWidth="1"/>
    <col min="10493" max="10493" width="8" style="7" customWidth="1"/>
    <col min="10494" max="10494" width="14" style="7" customWidth="1"/>
    <col min="10495" max="10495" width="8.875" style="7" customWidth="1"/>
    <col min="10496" max="10496" width="15.25" style="7" customWidth="1"/>
    <col min="10497" max="10497" width="16.375" style="7" customWidth="1"/>
    <col min="10498" max="10498" width="8.875" style="7" customWidth="1"/>
    <col min="10499" max="10499" width="9.625" style="7" customWidth="1"/>
    <col min="10500" max="10500" width="8.75" style="7" customWidth="1"/>
    <col min="10501" max="10501" width="12.375" style="7" customWidth="1"/>
    <col min="10502" max="10502" width="8.75" style="7" customWidth="1"/>
    <col min="10503" max="10503" width="11.5" style="7" customWidth="1"/>
    <col min="10504" max="10504" width="6.625" style="7" customWidth="1"/>
    <col min="10505" max="10505" width="11.25" style="7" customWidth="1"/>
    <col min="10506" max="10723" width="9" style="7" customWidth="1"/>
    <col min="10724" max="10724" width="9.625" style="7" customWidth="1"/>
    <col min="10725" max="10725" width="7.625" style="7" customWidth="1"/>
    <col min="10726" max="10726" width="18.5" style="7" customWidth="1"/>
    <col min="10727" max="10727" width="6.625" style="7" customWidth="1"/>
    <col min="10728" max="10728" width="12.25" style="7" customWidth="1"/>
    <col min="10729" max="10729" width="8" style="7" customWidth="1"/>
    <col min="10730" max="10730" width="10.625" style="7" customWidth="1"/>
    <col min="10731" max="10731" width="8" style="7" customWidth="1"/>
    <col min="10732" max="10732" width="11.375" style="7" customWidth="1"/>
    <col min="10733" max="10733" width="11.5" style="7" customWidth="1"/>
    <col min="10734" max="10734" width="8" style="7" customWidth="1"/>
    <col min="10735" max="10735" width="11.25" style="7" customWidth="1"/>
    <col min="10736" max="10736" width="8" style="7" customWidth="1"/>
    <col min="10737" max="10737" width="10.875" style="7" customWidth="1"/>
    <col min="10738" max="10738" width="12.25" style="7" customWidth="1"/>
    <col min="10739" max="10739" width="8" style="7" customWidth="1"/>
    <col min="10740" max="10740" width="11.875" style="7" customWidth="1"/>
    <col min="10741" max="10741" width="8" style="7" customWidth="1"/>
    <col min="10742" max="10742" width="11" style="7" customWidth="1"/>
    <col min="10743" max="10743" width="12.25" style="7" customWidth="1"/>
    <col min="10744" max="10744" width="8" style="7" customWidth="1"/>
    <col min="10745" max="10745" width="11.875" style="7" customWidth="1"/>
    <col min="10746" max="10746" width="8" style="7" customWidth="1"/>
    <col min="10747" max="10747" width="12.25" style="7" customWidth="1"/>
    <col min="10748" max="10748" width="14.25" style="7" customWidth="1"/>
    <col min="10749" max="10749" width="8" style="7" customWidth="1"/>
    <col min="10750" max="10750" width="14" style="7" customWidth="1"/>
    <col min="10751" max="10751" width="8.875" style="7" customWidth="1"/>
    <col min="10752" max="10752" width="15.25" style="7" customWidth="1"/>
    <col min="10753" max="10753" width="16.375" style="7" customWidth="1"/>
    <col min="10754" max="10754" width="8.875" style="7" customWidth="1"/>
    <col min="10755" max="10755" width="9.625" style="7" customWidth="1"/>
    <col min="10756" max="10756" width="8.75" style="7" customWidth="1"/>
    <col min="10757" max="10757" width="12.375" style="7" customWidth="1"/>
    <col min="10758" max="10758" width="8.75" style="7" customWidth="1"/>
    <col min="10759" max="10759" width="11.5" style="7" customWidth="1"/>
    <col min="10760" max="10760" width="6.625" style="7" customWidth="1"/>
    <col min="10761" max="10761" width="11.25" style="7" customWidth="1"/>
    <col min="10762" max="10979" width="9" style="7" customWidth="1"/>
    <col min="10980" max="10980" width="9.625" style="7" customWidth="1"/>
    <col min="10981" max="10981" width="7.625" style="7" customWidth="1"/>
    <col min="10982" max="10982" width="18.5" style="7" customWidth="1"/>
    <col min="10983" max="10983" width="6.625" style="7" customWidth="1"/>
    <col min="10984" max="10984" width="12.25" style="7" customWidth="1"/>
    <col min="10985" max="10985" width="8" style="7" customWidth="1"/>
    <col min="10986" max="10986" width="10.625" style="7" customWidth="1"/>
    <col min="10987" max="10987" width="8" style="7" customWidth="1"/>
    <col min="10988" max="10988" width="11.375" style="7" customWidth="1"/>
    <col min="10989" max="10989" width="11.5" style="7" customWidth="1"/>
    <col min="10990" max="10990" width="8" style="7" customWidth="1"/>
    <col min="10991" max="10991" width="11.25" style="7" customWidth="1"/>
    <col min="10992" max="10992" width="8" style="7" customWidth="1"/>
    <col min="10993" max="10993" width="10.875" style="7" customWidth="1"/>
    <col min="10994" max="10994" width="12.25" style="7" customWidth="1"/>
    <col min="10995" max="10995" width="8" style="7" customWidth="1"/>
    <col min="10996" max="10996" width="11.875" style="7" customWidth="1"/>
    <col min="10997" max="10997" width="8" style="7" customWidth="1"/>
    <col min="10998" max="10998" width="11" style="7" customWidth="1"/>
    <col min="10999" max="10999" width="12.25" style="7" customWidth="1"/>
    <col min="11000" max="11000" width="8" style="7" customWidth="1"/>
    <col min="11001" max="11001" width="11.875" style="7" customWidth="1"/>
    <col min="11002" max="11002" width="8" style="7" customWidth="1"/>
    <col min="11003" max="11003" width="12.25" style="7" customWidth="1"/>
    <col min="11004" max="11004" width="14.25" style="7" customWidth="1"/>
    <col min="11005" max="11005" width="8" style="7" customWidth="1"/>
    <col min="11006" max="11006" width="14" style="7" customWidth="1"/>
    <col min="11007" max="11007" width="8.875" style="7" customWidth="1"/>
    <col min="11008" max="11008" width="15.25" style="7" customWidth="1"/>
    <col min="11009" max="11009" width="16.375" style="7" customWidth="1"/>
    <col min="11010" max="11010" width="8.875" style="7" customWidth="1"/>
    <col min="11011" max="11011" width="9.625" style="7" customWidth="1"/>
    <col min="11012" max="11012" width="8.75" style="7" customWidth="1"/>
    <col min="11013" max="11013" width="12.375" style="7" customWidth="1"/>
    <col min="11014" max="11014" width="8.75" style="7" customWidth="1"/>
    <col min="11015" max="11015" width="11.5" style="7" customWidth="1"/>
    <col min="11016" max="11016" width="6.625" style="7" customWidth="1"/>
    <col min="11017" max="11017" width="11.25" style="7" customWidth="1"/>
    <col min="11018" max="11235" width="9" style="7" customWidth="1"/>
    <col min="11236" max="11236" width="9.625" style="7" customWidth="1"/>
    <col min="11237" max="11237" width="7.625" style="7" customWidth="1"/>
    <col min="11238" max="11238" width="18.5" style="7" customWidth="1"/>
    <col min="11239" max="11239" width="6.625" style="7" customWidth="1"/>
    <col min="11240" max="11240" width="12.25" style="7" customWidth="1"/>
    <col min="11241" max="11241" width="8" style="7" customWidth="1"/>
    <col min="11242" max="11242" width="10.625" style="7" customWidth="1"/>
    <col min="11243" max="11243" width="8" style="7" customWidth="1"/>
    <col min="11244" max="11244" width="11.375" style="7" customWidth="1"/>
    <col min="11245" max="11245" width="11.5" style="7" customWidth="1"/>
    <col min="11246" max="11246" width="8" style="7" customWidth="1"/>
    <col min="11247" max="11247" width="11.25" style="7" customWidth="1"/>
    <col min="11248" max="11248" width="8" style="7" customWidth="1"/>
    <col min="11249" max="11249" width="10.875" style="7" customWidth="1"/>
    <col min="11250" max="11250" width="12.25" style="7" customWidth="1"/>
    <col min="11251" max="11251" width="8" style="7" customWidth="1"/>
    <col min="11252" max="11252" width="11.875" style="7" customWidth="1"/>
    <col min="11253" max="11253" width="8" style="7" customWidth="1"/>
    <col min="11254" max="11254" width="11" style="7" customWidth="1"/>
    <col min="11255" max="11255" width="12.25" style="7" customWidth="1"/>
    <col min="11256" max="11256" width="8" style="7" customWidth="1"/>
    <col min="11257" max="11257" width="11.875" style="7" customWidth="1"/>
    <col min="11258" max="11258" width="8" style="7" customWidth="1"/>
    <col min="11259" max="11259" width="12.25" style="7" customWidth="1"/>
    <col min="11260" max="11260" width="14.25" style="7" customWidth="1"/>
    <col min="11261" max="11261" width="8" style="7" customWidth="1"/>
    <col min="11262" max="11262" width="14" style="7" customWidth="1"/>
    <col min="11263" max="11263" width="8.875" style="7" customWidth="1"/>
    <col min="11264" max="11264" width="15.25" style="7" customWidth="1"/>
    <col min="11265" max="11265" width="16.375" style="7" customWidth="1"/>
    <col min="11266" max="11266" width="8.875" style="7" customWidth="1"/>
    <col min="11267" max="11267" width="9.625" style="7" customWidth="1"/>
    <col min="11268" max="11268" width="8.75" style="7" customWidth="1"/>
    <col min="11269" max="11269" width="12.375" style="7" customWidth="1"/>
    <col min="11270" max="11270" width="8.75" style="7" customWidth="1"/>
    <col min="11271" max="11271" width="11.5" style="7" customWidth="1"/>
    <col min="11272" max="11272" width="6.625" style="7" customWidth="1"/>
    <col min="11273" max="11273" width="11.25" style="7" customWidth="1"/>
    <col min="11274" max="11491" width="9" style="7" customWidth="1"/>
    <col min="11492" max="11492" width="9.625" style="7" customWidth="1"/>
    <col min="11493" max="11493" width="7.625" style="7" customWidth="1"/>
    <col min="11494" max="11494" width="18.5" style="7" customWidth="1"/>
    <col min="11495" max="11495" width="6.625" style="7" customWidth="1"/>
    <col min="11496" max="11496" width="12.25" style="7" customWidth="1"/>
    <col min="11497" max="11497" width="8" style="7" customWidth="1"/>
    <col min="11498" max="11498" width="10.625" style="7" customWidth="1"/>
    <col min="11499" max="11499" width="8" style="7" customWidth="1"/>
    <col min="11500" max="11500" width="11.375" style="7" customWidth="1"/>
    <col min="11501" max="11501" width="11.5" style="7" customWidth="1"/>
    <col min="11502" max="11502" width="8" style="7" customWidth="1"/>
    <col min="11503" max="11503" width="11.25" style="7" customWidth="1"/>
    <col min="11504" max="11504" width="8" style="7" customWidth="1"/>
    <col min="11505" max="11505" width="10.875" style="7" customWidth="1"/>
    <col min="11506" max="11506" width="12.25" style="7" customWidth="1"/>
    <col min="11507" max="11507" width="8" style="7" customWidth="1"/>
    <col min="11508" max="11508" width="11.875" style="7" customWidth="1"/>
    <col min="11509" max="11509" width="8" style="7" customWidth="1"/>
    <col min="11510" max="11510" width="11" style="7" customWidth="1"/>
    <col min="11511" max="11511" width="12.25" style="7" customWidth="1"/>
    <col min="11512" max="11512" width="8" style="7" customWidth="1"/>
    <col min="11513" max="11513" width="11.875" style="7" customWidth="1"/>
    <col min="11514" max="11514" width="8" style="7" customWidth="1"/>
    <col min="11515" max="11515" width="12.25" style="7" customWidth="1"/>
    <col min="11516" max="11516" width="14.25" style="7" customWidth="1"/>
    <col min="11517" max="11517" width="8" style="7" customWidth="1"/>
    <col min="11518" max="11518" width="14" style="7" customWidth="1"/>
    <col min="11519" max="11519" width="8.875" style="7" customWidth="1"/>
    <col min="11520" max="11520" width="15.25" style="7" customWidth="1"/>
    <col min="11521" max="11521" width="16.375" style="7" customWidth="1"/>
    <col min="11522" max="11522" width="8.875" style="7" customWidth="1"/>
    <col min="11523" max="11523" width="9.625" style="7" customWidth="1"/>
    <col min="11524" max="11524" width="8.75" style="7" customWidth="1"/>
    <col min="11525" max="11525" width="12.375" style="7" customWidth="1"/>
    <col min="11526" max="11526" width="8.75" style="7" customWidth="1"/>
    <col min="11527" max="11527" width="11.5" style="7" customWidth="1"/>
    <col min="11528" max="11528" width="6.625" style="7" customWidth="1"/>
    <col min="11529" max="11529" width="11.25" style="7" customWidth="1"/>
    <col min="11530" max="11747" width="9" style="7" customWidth="1"/>
    <col min="11748" max="11748" width="9.625" style="7" customWidth="1"/>
    <col min="11749" max="11749" width="7.625" style="7" customWidth="1"/>
    <col min="11750" max="11750" width="18.5" style="7" customWidth="1"/>
    <col min="11751" max="11751" width="6.625" style="7" customWidth="1"/>
    <col min="11752" max="11752" width="12.25" style="7" customWidth="1"/>
    <col min="11753" max="11753" width="8" style="7" customWidth="1"/>
    <col min="11754" max="11754" width="10.625" style="7" customWidth="1"/>
    <col min="11755" max="11755" width="8" style="7" customWidth="1"/>
    <col min="11756" max="11756" width="11.375" style="7" customWidth="1"/>
    <col min="11757" max="11757" width="11.5" style="7" customWidth="1"/>
    <col min="11758" max="11758" width="8" style="7" customWidth="1"/>
    <col min="11759" max="11759" width="11.25" style="7" customWidth="1"/>
    <col min="11760" max="11760" width="8" style="7" customWidth="1"/>
    <col min="11761" max="11761" width="10.875" style="7" customWidth="1"/>
    <col min="11762" max="11762" width="12.25" style="7" customWidth="1"/>
    <col min="11763" max="11763" width="8" style="7" customWidth="1"/>
    <col min="11764" max="11764" width="11.875" style="7" customWidth="1"/>
    <col min="11765" max="11765" width="8" style="7" customWidth="1"/>
    <col min="11766" max="11766" width="11" style="7" customWidth="1"/>
    <col min="11767" max="11767" width="12.25" style="7" customWidth="1"/>
    <col min="11768" max="11768" width="8" style="7" customWidth="1"/>
    <col min="11769" max="11769" width="11.875" style="7" customWidth="1"/>
    <col min="11770" max="11770" width="8" style="7" customWidth="1"/>
    <col min="11771" max="11771" width="12.25" style="7" customWidth="1"/>
    <col min="11772" max="11772" width="14.25" style="7" customWidth="1"/>
    <col min="11773" max="11773" width="8" style="7" customWidth="1"/>
    <col min="11774" max="11774" width="14" style="7" customWidth="1"/>
    <col min="11775" max="11775" width="8.875" style="7" customWidth="1"/>
    <col min="11776" max="11776" width="15.25" style="7" customWidth="1"/>
    <col min="11777" max="11777" width="16.375" style="7" customWidth="1"/>
    <col min="11778" max="11778" width="8.875" style="7" customWidth="1"/>
    <col min="11779" max="11779" width="9.625" style="7" customWidth="1"/>
    <col min="11780" max="11780" width="8.75" style="7" customWidth="1"/>
    <col min="11781" max="11781" width="12.375" style="7" customWidth="1"/>
    <col min="11782" max="11782" width="8.75" style="7" customWidth="1"/>
    <col min="11783" max="11783" width="11.5" style="7" customWidth="1"/>
    <col min="11784" max="11784" width="6.625" style="7" customWidth="1"/>
    <col min="11785" max="11785" width="11.25" style="7" customWidth="1"/>
    <col min="11786" max="12003" width="9" style="7" customWidth="1"/>
    <col min="12004" max="12004" width="9.625" style="7" customWidth="1"/>
    <col min="12005" max="12005" width="7.625" style="7" customWidth="1"/>
    <col min="12006" max="12006" width="18.5" style="7" customWidth="1"/>
    <col min="12007" max="12007" width="6.625" style="7" customWidth="1"/>
    <col min="12008" max="12008" width="12.25" style="7" customWidth="1"/>
    <col min="12009" max="12009" width="8" style="7" customWidth="1"/>
    <col min="12010" max="12010" width="10.625" style="7" customWidth="1"/>
    <col min="12011" max="12011" width="8" style="7" customWidth="1"/>
    <col min="12012" max="12012" width="11.375" style="7" customWidth="1"/>
    <col min="12013" max="12013" width="11.5" style="7" customWidth="1"/>
    <col min="12014" max="12014" width="8" style="7" customWidth="1"/>
    <col min="12015" max="12015" width="11.25" style="7" customWidth="1"/>
    <col min="12016" max="12016" width="8" style="7" customWidth="1"/>
    <col min="12017" max="12017" width="10.875" style="7" customWidth="1"/>
    <col min="12018" max="12018" width="12.25" style="7" customWidth="1"/>
    <col min="12019" max="12019" width="8" style="7" customWidth="1"/>
    <col min="12020" max="12020" width="11.875" style="7" customWidth="1"/>
    <col min="12021" max="12021" width="8" style="7" customWidth="1"/>
    <col min="12022" max="12022" width="11" style="7" customWidth="1"/>
    <col min="12023" max="12023" width="12.25" style="7" customWidth="1"/>
    <col min="12024" max="12024" width="8" style="7" customWidth="1"/>
    <col min="12025" max="12025" width="11.875" style="7" customWidth="1"/>
    <col min="12026" max="12026" width="8" style="7" customWidth="1"/>
    <col min="12027" max="12027" width="12.25" style="7" customWidth="1"/>
    <col min="12028" max="12028" width="14.25" style="7" customWidth="1"/>
    <col min="12029" max="12029" width="8" style="7" customWidth="1"/>
    <col min="12030" max="12030" width="14" style="7" customWidth="1"/>
    <col min="12031" max="12031" width="8.875" style="7" customWidth="1"/>
    <col min="12032" max="12032" width="15.25" style="7" customWidth="1"/>
    <col min="12033" max="12033" width="16.375" style="7" customWidth="1"/>
    <col min="12034" max="12034" width="8.875" style="7" customWidth="1"/>
    <col min="12035" max="12035" width="9.625" style="7" customWidth="1"/>
    <col min="12036" max="12036" width="8.75" style="7" customWidth="1"/>
    <col min="12037" max="12037" width="12.375" style="7" customWidth="1"/>
    <col min="12038" max="12038" width="8.75" style="7" customWidth="1"/>
    <col min="12039" max="12039" width="11.5" style="7" customWidth="1"/>
    <col min="12040" max="12040" width="6.625" style="7" customWidth="1"/>
    <col min="12041" max="12041" width="11.25" style="7" customWidth="1"/>
    <col min="12042" max="12259" width="9" style="7" customWidth="1"/>
    <col min="12260" max="12260" width="9.625" style="7" customWidth="1"/>
    <col min="12261" max="12261" width="7.625" style="7" customWidth="1"/>
    <col min="12262" max="12262" width="18.5" style="7" customWidth="1"/>
    <col min="12263" max="12263" width="6.625" style="7" customWidth="1"/>
    <col min="12264" max="12264" width="12.25" style="7" customWidth="1"/>
    <col min="12265" max="12265" width="8" style="7" customWidth="1"/>
    <col min="12266" max="12266" width="10.625" style="7" customWidth="1"/>
    <col min="12267" max="12267" width="8" style="7" customWidth="1"/>
    <col min="12268" max="12268" width="11.375" style="7" customWidth="1"/>
    <col min="12269" max="12269" width="11.5" style="7" customWidth="1"/>
    <col min="12270" max="12270" width="8" style="7" customWidth="1"/>
    <col min="12271" max="12271" width="11.25" style="7" customWidth="1"/>
    <col min="12272" max="12272" width="8" style="7" customWidth="1"/>
    <col min="12273" max="12273" width="10.875" style="7" customWidth="1"/>
    <col min="12274" max="12274" width="12.25" style="7" customWidth="1"/>
    <col min="12275" max="12275" width="8" style="7" customWidth="1"/>
    <col min="12276" max="12276" width="11.875" style="7" customWidth="1"/>
    <col min="12277" max="12277" width="8" style="7" customWidth="1"/>
    <col min="12278" max="12278" width="11" style="7" customWidth="1"/>
    <col min="12279" max="12279" width="12.25" style="7" customWidth="1"/>
    <col min="12280" max="12280" width="8" style="7" customWidth="1"/>
    <col min="12281" max="12281" width="11.875" style="7" customWidth="1"/>
    <col min="12282" max="12282" width="8" style="7" customWidth="1"/>
    <col min="12283" max="12283" width="12.25" style="7" customWidth="1"/>
    <col min="12284" max="12284" width="14.25" style="7" customWidth="1"/>
    <col min="12285" max="12285" width="8" style="7" customWidth="1"/>
    <col min="12286" max="12286" width="14" style="7" customWidth="1"/>
    <col min="12287" max="12287" width="8.875" style="7" customWidth="1"/>
    <col min="12288" max="12288" width="15.25" style="7" customWidth="1"/>
    <col min="12289" max="12289" width="16.375" style="7" customWidth="1"/>
    <col min="12290" max="12290" width="8.875" style="7" customWidth="1"/>
    <col min="12291" max="12291" width="9.625" style="7" customWidth="1"/>
    <col min="12292" max="12292" width="8.75" style="7" customWidth="1"/>
    <col min="12293" max="12293" width="12.375" style="7" customWidth="1"/>
    <col min="12294" max="12294" width="8.75" style="7" customWidth="1"/>
    <col min="12295" max="12295" width="11.5" style="7" customWidth="1"/>
    <col min="12296" max="12296" width="6.625" style="7" customWidth="1"/>
    <col min="12297" max="12297" width="11.25" style="7" customWidth="1"/>
    <col min="12298" max="12515" width="9" style="7" customWidth="1"/>
    <col min="12516" max="12516" width="9.625" style="7" customWidth="1"/>
    <col min="12517" max="12517" width="7.625" style="7" customWidth="1"/>
    <col min="12518" max="12518" width="18.5" style="7" customWidth="1"/>
    <col min="12519" max="12519" width="6.625" style="7" customWidth="1"/>
    <col min="12520" max="12520" width="12.25" style="7" customWidth="1"/>
    <col min="12521" max="12521" width="8" style="7" customWidth="1"/>
    <col min="12522" max="12522" width="10.625" style="7" customWidth="1"/>
    <col min="12523" max="12523" width="8" style="7" customWidth="1"/>
    <col min="12524" max="12524" width="11.375" style="7" customWidth="1"/>
    <col min="12525" max="12525" width="11.5" style="7" customWidth="1"/>
    <col min="12526" max="12526" width="8" style="7" customWidth="1"/>
    <col min="12527" max="12527" width="11.25" style="7" customWidth="1"/>
    <col min="12528" max="12528" width="8" style="7" customWidth="1"/>
    <col min="12529" max="12529" width="10.875" style="7" customWidth="1"/>
    <col min="12530" max="12530" width="12.25" style="7" customWidth="1"/>
    <col min="12531" max="12531" width="8" style="7" customWidth="1"/>
    <col min="12532" max="12532" width="11.875" style="7" customWidth="1"/>
    <col min="12533" max="12533" width="8" style="7" customWidth="1"/>
    <col min="12534" max="12534" width="11" style="7" customWidth="1"/>
    <col min="12535" max="12535" width="12.25" style="7" customWidth="1"/>
    <col min="12536" max="12536" width="8" style="7" customWidth="1"/>
    <col min="12537" max="12537" width="11.875" style="7" customWidth="1"/>
    <col min="12538" max="12538" width="8" style="7" customWidth="1"/>
    <col min="12539" max="12539" width="12.25" style="7" customWidth="1"/>
    <col min="12540" max="12540" width="14.25" style="7" customWidth="1"/>
    <col min="12541" max="12541" width="8" style="7" customWidth="1"/>
    <col min="12542" max="12542" width="14" style="7" customWidth="1"/>
    <col min="12543" max="12543" width="8.875" style="7" customWidth="1"/>
    <col min="12544" max="12544" width="15.25" style="7" customWidth="1"/>
    <col min="12545" max="12545" width="16.375" style="7" customWidth="1"/>
    <col min="12546" max="12546" width="8.875" style="7" customWidth="1"/>
    <col min="12547" max="12547" width="9.625" style="7" customWidth="1"/>
    <col min="12548" max="12548" width="8.75" style="7" customWidth="1"/>
    <col min="12549" max="12549" width="12.375" style="7" customWidth="1"/>
    <col min="12550" max="12550" width="8.75" style="7" customWidth="1"/>
    <col min="12551" max="12551" width="11.5" style="7" customWidth="1"/>
    <col min="12552" max="12552" width="6.625" style="7" customWidth="1"/>
    <col min="12553" max="12553" width="11.25" style="7" customWidth="1"/>
    <col min="12554" max="12771" width="9" style="7" customWidth="1"/>
    <col min="12772" max="12772" width="9.625" style="7" customWidth="1"/>
    <col min="12773" max="12773" width="7.625" style="7" customWidth="1"/>
    <col min="12774" max="12774" width="18.5" style="7" customWidth="1"/>
    <col min="12775" max="12775" width="6.625" style="7" customWidth="1"/>
    <col min="12776" max="12776" width="12.25" style="7" customWidth="1"/>
    <col min="12777" max="12777" width="8" style="7" customWidth="1"/>
    <col min="12778" max="12778" width="10.625" style="7" customWidth="1"/>
    <col min="12779" max="12779" width="8" style="7" customWidth="1"/>
    <col min="12780" max="12780" width="11.375" style="7" customWidth="1"/>
    <col min="12781" max="12781" width="11.5" style="7" customWidth="1"/>
    <col min="12782" max="12782" width="8" style="7" customWidth="1"/>
    <col min="12783" max="12783" width="11.25" style="7" customWidth="1"/>
    <col min="12784" max="12784" width="8" style="7" customWidth="1"/>
    <col min="12785" max="12785" width="10.875" style="7" customWidth="1"/>
    <col min="12786" max="12786" width="12.25" style="7" customWidth="1"/>
    <col min="12787" max="12787" width="8" style="7" customWidth="1"/>
    <col min="12788" max="12788" width="11.875" style="7" customWidth="1"/>
    <col min="12789" max="12789" width="8" style="7" customWidth="1"/>
    <col min="12790" max="12790" width="11" style="7" customWidth="1"/>
    <col min="12791" max="12791" width="12.25" style="7" customWidth="1"/>
    <col min="12792" max="12792" width="8" style="7" customWidth="1"/>
    <col min="12793" max="12793" width="11.875" style="7" customWidth="1"/>
    <col min="12794" max="12794" width="8" style="7" customWidth="1"/>
    <col min="12795" max="12795" width="12.25" style="7" customWidth="1"/>
    <col min="12796" max="12796" width="14.25" style="7" customWidth="1"/>
    <col min="12797" max="12797" width="8" style="7" customWidth="1"/>
    <col min="12798" max="12798" width="14" style="7" customWidth="1"/>
    <col min="12799" max="12799" width="8.875" style="7" customWidth="1"/>
    <col min="12800" max="12800" width="15.25" style="7" customWidth="1"/>
    <col min="12801" max="12801" width="16.375" style="7" customWidth="1"/>
    <col min="12802" max="12802" width="8.875" style="7" customWidth="1"/>
    <col min="12803" max="12803" width="9.625" style="7" customWidth="1"/>
    <col min="12804" max="12804" width="8.75" style="7" customWidth="1"/>
    <col min="12805" max="12805" width="12.375" style="7" customWidth="1"/>
    <col min="12806" max="12806" width="8.75" style="7" customWidth="1"/>
    <col min="12807" max="12807" width="11.5" style="7" customWidth="1"/>
    <col min="12808" max="12808" width="6.625" style="7" customWidth="1"/>
    <col min="12809" max="12809" width="11.25" style="7" customWidth="1"/>
    <col min="12810" max="13027" width="9" style="7" customWidth="1"/>
    <col min="13028" max="13028" width="9.625" style="7" customWidth="1"/>
    <col min="13029" max="13029" width="7.625" style="7" customWidth="1"/>
    <col min="13030" max="13030" width="18.5" style="7" customWidth="1"/>
    <col min="13031" max="13031" width="6.625" style="7" customWidth="1"/>
    <col min="13032" max="13032" width="12.25" style="7" customWidth="1"/>
    <col min="13033" max="13033" width="8" style="7" customWidth="1"/>
    <col min="13034" max="13034" width="10.625" style="7" customWidth="1"/>
    <col min="13035" max="13035" width="8" style="7" customWidth="1"/>
    <col min="13036" max="13036" width="11.375" style="7" customWidth="1"/>
    <col min="13037" max="13037" width="11.5" style="7" customWidth="1"/>
    <col min="13038" max="13038" width="8" style="7" customWidth="1"/>
    <col min="13039" max="13039" width="11.25" style="7" customWidth="1"/>
    <col min="13040" max="13040" width="8" style="7" customWidth="1"/>
    <col min="13041" max="13041" width="10.875" style="7" customWidth="1"/>
    <col min="13042" max="13042" width="12.25" style="7" customWidth="1"/>
    <col min="13043" max="13043" width="8" style="7" customWidth="1"/>
    <col min="13044" max="13044" width="11.875" style="7" customWidth="1"/>
    <col min="13045" max="13045" width="8" style="7" customWidth="1"/>
    <col min="13046" max="13046" width="11" style="7" customWidth="1"/>
    <col min="13047" max="13047" width="12.25" style="7" customWidth="1"/>
    <col min="13048" max="13048" width="8" style="7" customWidth="1"/>
    <col min="13049" max="13049" width="11.875" style="7" customWidth="1"/>
    <col min="13050" max="13050" width="8" style="7" customWidth="1"/>
    <col min="13051" max="13051" width="12.25" style="7" customWidth="1"/>
    <col min="13052" max="13052" width="14.25" style="7" customWidth="1"/>
    <col min="13053" max="13053" width="8" style="7" customWidth="1"/>
    <col min="13054" max="13054" width="14" style="7" customWidth="1"/>
    <col min="13055" max="13055" width="8.875" style="7" customWidth="1"/>
    <col min="13056" max="13056" width="15.25" style="7" customWidth="1"/>
    <col min="13057" max="13057" width="16.375" style="7" customWidth="1"/>
    <col min="13058" max="13058" width="8.875" style="7" customWidth="1"/>
    <col min="13059" max="13059" width="9.625" style="7" customWidth="1"/>
    <col min="13060" max="13060" width="8.75" style="7" customWidth="1"/>
    <col min="13061" max="13061" width="12.375" style="7" customWidth="1"/>
    <col min="13062" max="13062" width="8.75" style="7" customWidth="1"/>
    <col min="13063" max="13063" width="11.5" style="7" customWidth="1"/>
    <col min="13064" max="13064" width="6.625" style="7" customWidth="1"/>
    <col min="13065" max="13065" width="11.25" style="7" customWidth="1"/>
    <col min="13066" max="13283" width="9" style="7" customWidth="1"/>
    <col min="13284" max="13284" width="9.625" style="7" customWidth="1"/>
    <col min="13285" max="13285" width="7.625" style="7" customWidth="1"/>
    <col min="13286" max="13286" width="18.5" style="7" customWidth="1"/>
    <col min="13287" max="13287" width="6.625" style="7" customWidth="1"/>
    <col min="13288" max="13288" width="12.25" style="7" customWidth="1"/>
    <col min="13289" max="13289" width="8" style="7" customWidth="1"/>
    <col min="13290" max="13290" width="10.625" style="7" customWidth="1"/>
    <col min="13291" max="13291" width="8" style="7" customWidth="1"/>
    <col min="13292" max="13292" width="11.375" style="7" customWidth="1"/>
    <col min="13293" max="13293" width="11.5" style="7" customWidth="1"/>
    <col min="13294" max="13294" width="8" style="7" customWidth="1"/>
    <col min="13295" max="13295" width="11.25" style="7" customWidth="1"/>
    <col min="13296" max="13296" width="8" style="7" customWidth="1"/>
    <col min="13297" max="13297" width="10.875" style="7" customWidth="1"/>
    <col min="13298" max="13298" width="12.25" style="7" customWidth="1"/>
    <col min="13299" max="13299" width="8" style="7" customWidth="1"/>
    <col min="13300" max="13300" width="11.875" style="7" customWidth="1"/>
    <col min="13301" max="13301" width="8" style="7" customWidth="1"/>
    <col min="13302" max="13302" width="11" style="7" customWidth="1"/>
    <col min="13303" max="13303" width="12.25" style="7" customWidth="1"/>
    <col min="13304" max="13304" width="8" style="7" customWidth="1"/>
    <col min="13305" max="13305" width="11.875" style="7" customWidth="1"/>
    <col min="13306" max="13306" width="8" style="7" customWidth="1"/>
    <col min="13307" max="13307" width="12.25" style="7" customWidth="1"/>
    <col min="13308" max="13308" width="14.25" style="7" customWidth="1"/>
    <col min="13309" max="13309" width="8" style="7" customWidth="1"/>
    <col min="13310" max="13310" width="14" style="7" customWidth="1"/>
    <col min="13311" max="13311" width="8.875" style="7" customWidth="1"/>
    <col min="13312" max="13312" width="15.25" style="7" customWidth="1"/>
    <col min="13313" max="13313" width="16.375" style="7" customWidth="1"/>
    <col min="13314" max="13314" width="8.875" style="7" customWidth="1"/>
    <col min="13315" max="13315" width="9.625" style="7" customWidth="1"/>
    <col min="13316" max="13316" width="8.75" style="7" customWidth="1"/>
    <col min="13317" max="13317" width="12.375" style="7" customWidth="1"/>
    <col min="13318" max="13318" width="8.75" style="7" customWidth="1"/>
    <col min="13319" max="13319" width="11.5" style="7" customWidth="1"/>
    <col min="13320" max="13320" width="6.625" style="7" customWidth="1"/>
    <col min="13321" max="13321" width="11.25" style="7" customWidth="1"/>
    <col min="13322" max="13539" width="9" style="7" customWidth="1"/>
    <col min="13540" max="13540" width="9.625" style="7" customWidth="1"/>
    <col min="13541" max="13541" width="7.625" style="7" customWidth="1"/>
    <col min="13542" max="13542" width="18.5" style="7" customWidth="1"/>
    <col min="13543" max="13543" width="6.625" style="7" customWidth="1"/>
    <col min="13544" max="13544" width="12.25" style="7" customWidth="1"/>
    <col min="13545" max="13545" width="8" style="7" customWidth="1"/>
    <col min="13546" max="13546" width="10.625" style="7" customWidth="1"/>
    <col min="13547" max="13547" width="8" style="7" customWidth="1"/>
    <col min="13548" max="13548" width="11.375" style="7" customWidth="1"/>
    <col min="13549" max="13549" width="11.5" style="7" customWidth="1"/>
    <col min="13550" max="13550" width="8" style="7" customWidth="1"/>
    <col min="13551" max="13551" width="11.25" style="7" customWidth="1"/>
    <col min="13552" max="13552" width="8" style="7" customWidth="1"/>
    <col min="13553" max="13553" width="10.875" style="7" customWidth="1"/>
    <col min="13554" max="13554" width="12.25" style="7" customWidth="1"/>
    <col min="13555" max="13555" width="8" style="7" customWidth="1"/>
    <col min="13556" max="13556" width="11.875" style="7" customWidth="1"/>
    <col min="13557" max="13557" width="8" style="7" customWidth="1"/>
    <col min="13558" max="13558" width="11" style="7" customWidth="1"/>
    <col min="13559" max="13559" width="12.25" style="7" customWidth="1"/>
    <col min="13560" max="13560" width="8" style="7" customWidth="1"/>
    <col min="13561" max="13561" width="11.875" style="7" customWidth="1"/>
    <col min="13562" max="13562" width="8" style="7" customWidth="1"/>
    <col min="13563" max="13563" width="12.25" style="7" customWidth="1"/>
    <col min="13564" max="13564" width="14.25" style="7" customWidth="1"/>
    <col min="13565" max="13565" width="8" style="7" customWidth="1"/>
    <col min="13566" max="13566" width="14" style="7" customWidth="1"/>
    <col min="13567" max="13567" width="8.875" style="7" customWidth="1"/>
    <col min="13568" max="13568" width="15.25" style="7" customWidth="1"/>
    <col min="13569" max="13569" width="16.375" style="7" customWidth="1"/>
    <col min="13570" max="13570" width="8.875" style="7" customWidth="1"/>
    <col min="13571" max="13571" width="9.625" style="7" customWidth="1"/>
    <col min="13572" max="13572" width="8.75" style="7" customWidth="1"/>
    <col min="13573" max="13573" width="12.375" style="7" customWidth="1"/>
    <col min="13574" max="13574" width="8.75" style="7" customWidth="1"/>
    <col min="13575" max="13575" width="11.5" style="7" customWidth="1"/>
    <col min="13576" max="13576" width="6.625" style="7" customWidth="1"/>
    <col min="13577" max="13577" width="11.25" style="7" customWidth="1"/>
    <col min="13578" max="13795" width="9" style="7" customWidth="1"/>
    <col min="13796" max="13796" width="9.625" style="7" customWidth="1"/>
    <col min="13797" max="13797" width="7.625" style="7" customWidth="1"/>
    <col min="13798" max="13798" width="18.5" style="7" customWidth="1"/>
    <col min="13799" max="13799" width="6.625" style="7" customWidth="1"/>
    <col min="13800" max="13800" width="12.25" style="7" customWidth="1"/>
    <col min="13801" max="13801" width="8" style="7" customWidth="1"/>
    <col min="13802" max="13802" width="10.625" style="7" customWidth="1"/>
    <col min="13803" max="13803" width="8" style="7" customWidth="1"/>
    <col min="13804" max="13804" width="11.375" style="7" customWidth="1"/>
    <col min="13805" max="13805" width="11.5" style="7" customWidth="1"/>
    <col min="13806" max="13806" width="8" style="7" customWidth="1"/>
    <col min="13807" max="13807" width="11.25" style="7" customWidth="1"/>
    <col min="13808" max="13808" width="8" style="7" customWidth="1"/>
    <col min="13809" max="13809" width="10.875" style="7" customWidth="1"/>
    <col min="13810" max="13810" width="12.25" style="7" customWidth="1"/>
    <col min="13811" max="13811" width="8" style="7" customWidth="1"/>
    <col min="13812" max="13812" width="11.875" style="7" customWidth="1"/>
    <col min="13813" max="13813" width="8" style="7" customWidth="1"/>
    <col min="13814" max="13814" width="11" style="7" customWidth="1"/>
    <col min="13815" max="13815" width="12.25" style="7" customWidth="1"/>
    <col min="13816" max="13816" width="8" style="7" customWidth="1"/>
    <col min="13817" max="13817" width="11.875" style="7" customWidth="1"/>
    <col min="13818" max="13818" width="8" style="7" customWidth="1"/>
    <col min="13819" max="13819" width="12.25" style="7" customWidth="1"/>
    <col min="13820" max="13820" width="14.25" style="7" customWidth="1"/>
    <col min="13821" max="13821" width="8" style="7" customWidth="1"/>
    <col min="13822" max="13822" width="14" style="7" customWidth="1"/>
    <col min="13823" max="13823" width="8.875" style="7" customWidth="1"/>
    <col min="13824" max="13824" width="15.25" style="7" customWidth="1"/>
    <col min="13825" max="13825" width="16.375" style="7" customWidth="1"/>
    <col min="13826" max="13826" width="8.875" style="7" customWidth="1"/>
    <col min="13827" max="13827" width="9.625" style="7" customWidth="1"/>
    <col min="13828" max="13828" width="8.75" style="7" customWidth="1"/>
    <col min="13829" max="13829" width="12.375" style="7" customWidth="1"/>
    <col min="13830" max="13830" width="8.75" style="7" customWidth="1"/>
    <col min="13831" max="13831" width="11.5" style="7" customWidth="1"/>
    <col min="13832" max="13832" width="6.625" style="7" customWidth="1"/>
    <col min="13833" max="13833" width="11.25" style="7" customWidth="1"/>
    <col min="13834" max="14051" width="9" style="7" customWidth="1"/>
    <col min="14052" max="14052" width="9.625" style="7" customWidth="1"/>
    <col min="14053" max="14053" width="7.625" style="7" customWidth="1"/>
    <col min="14054" max="14054" width="18.5" style="7" customWidth="1"/>
    <col min="14055" max="14055" width="6.625" style="7" customWidth="1"/>
    <col min="14056" max="14056" width="12.25" style="7" customWidth="1"/>
    <col min="14057" max="14057" width="8" style="7" customWidth="1"/>
    <col min="14058" max="14058" width="10.625" style="7" customWidth="1"/>
    <col min="14059" max="14059" width="8" style="7" customWidth="1"/>
    <col min="14060" max="14060" width="11.375" style="7" customWidth="1"/>
    <col min="14061" max="14061" width="11.5" style="7" customWidth="1"/>
    <col min="14062" max="14062" width="8" style="7" customWidth="1"/>
    <col min="14063" max="14063" width="11.25" style="7" customWidth="1"/>
    <col min="14064" max="14064" width="8" style="7" customWidth="1"/>
    <col min="14065" max="14065" width="10.875" style="7" customWidth="1"/>
    <col min="14066" max="14066" width="12.25" style="7" customWidth="1"/>
    <col min="14067" max="14067" width="8" style="7" customWidth="1"/>
    <col min="14068" max="14068" width="11.875" style="7" customWidth="1"/>
    <col min="14069" max="14069" width="8" style="7" customWidth="1"/>
    <col min="14070" max="14070" width="11" style="7" customWidth="1"/>
    <col min="14071" max="14071" width="12.25" style="7" customWidth="1"/>
    <col min="14072" max="14072" width="8" style="7" customWidth="1"/>
    <col min="14073" max="14073" width="11.875" style="7" customWidth="1"/>
    <col min="14074" max="14074" width="8" style="7" customWidth="1"/>
    <col min="14075" max="14075" width="12.25" style="7" customWidth="1"/>
    <col min="14076" max="14076" width="14.25" style="7" customWidth="1"/>
    <col min="14077" max="14077" width="8" style="7" customWidth="1"/>
    <col min="14078" max="14078" width="14" style="7" customWidth="1"/>
    <col min="14079" max="14079" width="8.875" style="7" customWidth="1"/>
    <col min="14080" max="14080" width="15.25" style="7" customWidth="1"/>
    <col min="14081" max="14081" width="16.375" style="7" customWidth="1"/>
    <col min="14082" max="14082" width="8.875" style="7" customWidth="1"/>
    <col min="14083" max="14083" width="9.625" style="7" customWidth="1"/>
    <col min="14084" max="14084" width="8.75" style="7" customWidth="1"/>
    <col min="14085" max="14085" width="12.375" style="7" customWidth="1"/>
    <col min="14086" max="14086" width="8.75" style="7" customWidth="1"/>
    <col min="14087" max="14087" width="11.5" style="7" customWidth="1"/>
    <col min="14088" max="14088" width="6.625" style="7" customWidth="1"/>
    <col min="14089" max="14089" width="11.25" style="7" customWidth="1"/>
    <col min="14090" max="14307" width="9" style="7" customWidth="1"/>
    <col min="14308" max="14308" width="9.625" style="7" customWidth="1"/>
    <col min="14309" max="14309" width="7.625" style="7" customWidth="1"/>
    <col min="14310" max="14310" width="18.5" style="7" customWidth="1"/>
    <col min="14311" max="14311" width="6.625" style="7" customWidth="1"/>
    <col min="14312" max="14312" width="12.25" style="7" customWidth="1"/>
    <col min="14313" max="14313" width="8" style="7" customWidth="1"/>
    <col min="14314" max="14314" width="10.625" style="7" customWidth="1"/>
    <col min="14315" max="14315" width="8" style="7" customWidth="1"/>
    <col min="14316" max="14316" width="11.375" style="7" customWidth="1"/>
    <col min="14317" max="14317" width="11.5" style="7" customWidth="1"/>
    <col min="14318" max="14318" width="8" style="7" customWidth="1"/>
    <col min="14319" max="14319" width="11.25" style="7" customWidth="1"/>
    <col min="14320" max="14320" width="8" style="7" customWidth="1"/>
    <col min="14321" max="14321" width="10.875" style="7" customWidth="1"/>
    <col min="14322" max="14322" width="12.25" style="7" customWidth="1"/>
    <col min="14323" max="14323" width="8" style="7" customWidth="1"/>
    <col min="14324" max="14324" width="11.875" style="7" customWidth="1"/>
    <col min="14325" max="14325" width="8" style="7" customWidth="1"/>
    <col min="14326" max="14326" width="11" style="7" customWidth="1"/>
    <col min="14327" max="14327" width="12.25" style="7" customWidth="1"/>
    <col min="14328" max="14328" width="8" style="7" customWidth="1"/>
    <col min="14329" max="14329" width="11.875" style="7" customWidth="1"/>
    <col min="14330" max="14330" width="8" style="7" customWidth="1"/>
    <col min="14331" max="14331" width="12.25" style="7" customWidth="1"/>
    <col min="14332" max="14332" width="14.25" style="7" customWidth="1"/>
    <col min="14333" max="14333" width="8" style="7" customWidth="1"/>
    <col min="14334" max="14334" width="14" style="7" customWidth="1"/>
    <col min="14335" max="14335" width="8.875" style="7" customWidth="1"/>
    <col min="14336" max="14336" width="15.25" style="7" customWidth="1"/>
    <col min="14337" max="14337" width="16.375" style="7" customWidth="1"/>
    <col min="14338" max="14338" width="8.875" style="7" customWidth="1"/>
    <col min="14339" max="14339" width="9.625" style="7" customWidth="1"/>
    <col min="14340" max="14340" width="8.75" style="7" customWidth="1"/>
    <col min="14341" max="14341" width="12.375" style="7" customWidth="1"/>
    <col min="14342" max="14342" width="8.75" style="7" customWidth="1"/>
    <col min="14343" max="14343" width="11.5" style="7" customWidth="1"/>
    <col min="14344" max="14344" width="6.625" style="7" customWidth="1"/>
    <col min="14345" max="14345" width="11.25" style="7" customWidth="1"/>
    <col min="14346" max="14563" width="9" style="7" customWidth="1"/>
    <col min="14564" max="14564" width="9.625" style="7" customWidth="1"/>
    <col min="14565" max="14565" width="7.625" style="7" customWidth="1"/>
    <col min="14566" max="14566" width="18.5" style="7" customWidth="1"/>
    <col min="14567" max="14567" width="6.625" style="7" customWidth="1"/>
    <col min="14568" max="14568" width="12.25" style="7" customWidth="1"/>
    <col min="14569" max="14569" width="8" style="7" customWidth="1"/>
    <col min="14570" max="14570" width="10.625" style="7" customWidth="1"/>
    <col min="14571" max="14571" width="8" style="7" customWidth="1"/>
    <col min="14572" max="14572" width="11.375" style="7" customWidth="1"/>
    <col min="14573" max="14573" width="11.5" style="7" customWidth="1"/>
    <col min="14574" max="14574" width="8" style="7" customWidth="1"/>
    <col min="14575" max="14575" width="11.25" style="7" customWidth="1"/>
    <col min="14576" max="14576" width="8" style="7" customWidth="1"/>
    <col min="14577" max="14577" width="10.875" style="7" customWidth="1"/>
    <col min="14578" max="14578" width="12.25" style="7" customWidth="1"/>
    <col min="14579" max="14579" width="8" style="7" customWidth="1"/>
    <col min="14580" max="14580" width="11.875" style="7" customWidth="1"/>
    <col min="14581" max="14581" width="8" style="7" customWidth="1"/>
    <col min="14582" max="14582" width="11" style="7" customWidth="1"/>
    <col min="14583" max="14583" width="12.25" style="7" customWidth="1"/>
    <col min="14584" max="14584" width="8" style="7" customWidth="1"/>
    <col min="14585" max="14585" width="11.875" style="7" customWidth="1"/>
    <col min="14586" max="14586" width="8" style="7" customWidth="1"/>
    <col min="14587" max="14587" width="12.25" style="7" customWidth="1"/>
    <col min="14588" max="14588" width="14.25" style="7" customWidth="1"/>
    <col min="14589" max="14589" width="8" style="7" customWidth="1"/>
    <col min="14590" max="14590" width="14" style="7" customWidth="1"/>
    <col min="14591" max="14591" width="8.875" style="7" customWidth="1"/>
    <col min="14592" max="14592" width="15.25" style="7" customWidth="1"/>
    <col min="14593" max="14593" width="16.375" style="7" customWidth="1"/>
    <col min="14594" max="14594" width="8.875" style="7" customWidth="1"/>
    <col min="14595" max="14595" width="9.625" style="7" customWidth="1"/>
    <col min="14596" max="14596" width="8.75" style="7" customWidth="1"/>
    <col min="14597" max="14597" width="12.375" style="7" customWidth="1"/>
    <col min="14598" max="14598" width="8.75" style="7" customWidth="1"/>
    <col min="14599" max="14599" width="11.5" style="7" customWidth="1"/>
    <col min="14600" max="14600" width="6.625" style="7" customWidth="1"/>
    <col min="14601" max="14601" width="11.25" style="7" customWidth="1"/>
    <col min="14602" max="14819" width="9" style="7" customWidth="1"/>
    <col min="14820" max="14820" width="9.625" style="7" customWidth="1"/>
    <col min="14821" max="14821" width="7.625" style="7" customWidth="1"/>
    <col min="14822" max="14822" width="18.5" style="7" customWidth="1"/>
    <col min="14823" max="14823" width="6.625" style="7" customWidth="1"/>
    <col min="14824" max="14824" width="12.25" style="7" customWidth="1"/>
    <col min="14825" max="14825" width="8" style="7" customWidth="1"/>
    <col min="14826" max="14826" width="10.625" style="7" customWidth="1"/>
    <col min="14827" max="14827" width="8" style="7" customWidth="1"/>
    <col min="14828" max="14828" width="11.375" style="7" customWidth="1"/>
    <col min="14829" max="14829" width="11.5" style="7" customWidth="1"/>
    <col min="14830" max="14830" width="8" style="7" customWidth="1"/>
    <col min="14831" max="14831" width="11.25" style="7" customWidth="1"/>
    <col min="14832" max="14832" width="8" style="7" customWidth="1"/>
    <col min="14833" max="14833" width="10.875" style="7" customWidth="1"/>
    <col min="14834" max="14834" width="12.25" style="7" customWidth="1"/>
    <col min="14835" max="14835" width="8" style="7" customWidth="1"/>
    <col min="14836" max="14836" width="11.875" style="7" customWidth="1"/>
    <col min="14837" max="14837" width="8" style="7" customWidth="1"/>
    <col min="14838" max="14838" width="11" style="7" customWidth="1"/>
    <col min="14839" max="14839" width="12.25" style="7" customWidth="1"/>
    <col min="14840" max="14840" width="8" style="7" customWidth="1"/>
    <col min="14841" max="14841" width="11.875" style="7" customWidth="1"/>
    <col min="14842" max="14842" width="8" style="7" customWidth="1"/>
    <col min="14843" max="14843" width="12.25" style="7" customWidth="1"/>
    <col min="14844" max="14844" width="14.25" style="7" customWidth="1"/>
    <col min="14845" max="14845" width="8" style="7" customWidth="1"/>
    <col min="14846" max="14846" width="14" style="7" customWidth="1"/>
    <col min="14847" max="14847" width="8.875" style="7" customWidth="1"/>
    <col min="14848" max="14848" width="15.25" style="7" customWidth="1"/>
    <col min="14849" max="14849" width="16.375" style="7" customWidth="1"/>
    <col min="14850" max="14850" width="8.875" style="7" customWidth="1"/>
    <col min="14851" max="14851" width="9.625" style="7" customWidth="1"/>
    <col min="14852" max="14852" width="8.75" style="7" customWidth="1"/>
    <col min="14853" max="14853" width="12.375" style="7" customWidth="1"/>
    <col min="14854" max="14854" width="8.75" style="7" customWidth="1"/>
    <col min="14855" max="14855" width="11.5" style="7" customWidth="1"/>
    <col min="14856" max="14856" width="6.625" style="7" customWidth="1"/>
    <col min="14857" max="14857" width="11.25" style="7" customWidth="1"/>
    <col min="14858" max="15075" width="9" style="7" customWidth="1"/>
    <col min="15076" max="15076" width="9.625" style="7" customWidth="1"/>
    <col min="15077" max="15077" width="7.625" style="7" customWidth="1"/>
    <col min="15078" max="15078" width="18.5" style="7" customWidth="1"/>
    <col min="15079" max="15079" width="6.625" style="7" customWidth="1"/>
    <col min="15080" max="15080" width="12.25" style="7" customWidth="1"/>
    <col min="15081" max="15081" width="8" style="7" customWidth="1"/>
    <col min="15082" max="15082" width="10.625" style="7" customWidth="1"/>
    <col min="15083" max="15083" width="8" style="7" customWidth="1"/>
    <col min="15084" max="15084" width="11.375" style="7" customWidth="1"/>
    <col min="15085" max="15085" width="11.5" style="7" customWidth="1"/>
    <col min="15086" max="15086" width="8" style="7" customWidth="1"/>
    <col min="15087" max="15087" width="11.25" style="7" customWidth="1"/>
    <col min="15088" max="15088" width="8" style="7" customWidth="1"/>
    <col min="15089" max="15089" width="10.875" style="7" customWidth="1"/>
    <col min="15090" max="15090" width="12.25" style="7" customWidth="1"/>
    <col min="15091" max="15091" width="8" style="7" customWidth="1"/>
    <col min="15092" max="15092" width="11.875" style="7" customWidth="1"/>
    <col min="15093" max="15093" width="8" style="7" customWidth="1"/>
    <col min="15094" max="15094" width="11" style="7" customWidth="1"/>
    <col min="15095" max="15095" width="12.25" style="7" customWidth="1"/>
    <col min="15096" max="15096" width="8" style="7" customWidth="1"/>
    <col min="15097" max="15097" width="11.875" style="7" customWidth="1"/>
    <col min="15098" max="15098" width="8" style="7" customWidth="1"/>
    <col min="15099" max="15099" width="12.25" style="7" customWidth="1"/>
    <col min="15100" max="15100" width="14.25" style="7" customWidth="1"/>
    <col min="15101" max="15101" width="8" style="7" customWidth="1"/>
    <col min="15102" max="15102" width="14" style="7" customWidth="1"/>
    <col min="15103" max="15103" width="8.875" style="7" customWidth="1"/>
    <col min="15104" max="15104" width="15.25" style="7" customWidth="1"/>
    <col min="15105" max="15105" width="16.375" style="7" customWidth="1"/>
    <col min="15106" max="15106" width="8.875" style="7" customWidth="1"/>
    <col min="15107" max="15107" width="9.625" style="7" customWidth="1"/>
    <col min="15108" max="15108" width="8.75" style="7" customWidth="1"/>
    <col min="15109" max="15109" width="12.375" style="7" customWidth="1"/>
    <col min="15110" max="15110" width="8.75" style="7" customWidth="1"/>
    <col min="15111" max="15111" width="11.5" style="7" customWidth="1"/>
    <col min="15112" max="15112" width="6.625" style="7" customWidth="1"/>
    <col min="15113" max="15113" width="11.25" style="7" customWidth="1"/>
    <col min="15114" max="15331" width="9" style="7" customWidth="1"/>
    <col min="15332" max="15332" width="9.625" style="7" customWidth="1"/>
    <col min="15333" max="15333" width="7.625" style="7" customWidth="1"/>
    <col min="15334" max="15334" width="18.5" style="7" customWidth="1"/>
    <col min="15335" max="15335" width="6.625" style="7" customWidth="1"/>
    <col min="15336" max="15336" width="12.25" style="7" customWidth="1"/>
    <col min="15337" max="15337" width="8" style="7" customWidth="1"/>
    <col min="15338" max="15338" width="10.625" style="7" customWidth="1"/>
    <col min="15339" max="15339" width="8" style="7" customWidth="1"/>
    <col min="15340" max="15340" width="11.375" style="7" customWidth="1"/>
    <col min="15341" max="15341" width="11.5" style="7" customWidth="1"/>
    <col min="15342" max="15342" width="8" style="7" customWidth="1"/>
    <col min="15343" max="15343" width="11.25" style="7" customWidth="1"/>
    <col min="15344" max="15344" width="8" style="7" customWidth="1"/>
    <col min="15345" max="15345" width="10.875" style="7" customWidth="1"/>
    <col min="15346" max="15346" width="12.25" style="7" customWidth="1"/>
    <col min="15347" max="15347" width="8" style="7" customWidth="1"/>
    <col min="15348" max="15348" width="11.875" style="7" customWidth="1"/>
    <col min="15349" max="15349" width="8" style="7" customWidth="1"/>
    <col min="15350" max="15350" width="11" style="7" customWidth="1"/>
    <col min="15351" max="15351" width="12.25" style="7" customWidth="1"/>
    <col min="15352" max="15352" width="8" style="7" customWidth="1"/>
    <col min="15353" max="15353" width="11.875" style="7" customWidth="1"/>
    <col min="15354" max="15354" width="8" style="7" customWidth="1"/>
    <col min="15355" max="15355" width="12.25" style="7" customWidth="1"/>
    <col min="15356" max="15356" width="14.25" style="7" customWidth="1"/>
    <col min="15357" max="15357" width="8" style="7" customWidth="1"/>
    <col min="15358" max="15358" width="14" style="7" customWidth="1"/>
    <col min="15359" max="15359" width="8.875" style="7" customWidth="1"/>
    <col min="15360" max="15360" width="15.25" style="7" customWidth="1"/>
    <col min="15361" max="15361" width="16.375" style="7" customWidth="1"/>
    <col min="15362" max="15362" width="8.875" style="7" customWidth="1"/>
    <col min="15363" max="15363" width="9.625" style="7" customWidth="1"/>
    <col min="15364" max="15364" width="8.75" style="7" customWidth="1"/>
    <col min="15365" max="15365" width="12.375" style="7" customWidth="1"/>
    <col min="15366" max="15366" width="8.75" style="7" customWidth="1"/>
    <col min="15367" max="15367" width="11.5" style="7" customWidth="1"/>
    <col min="15368" max="15368" width="6.625" style="7" customWidth="1"/>
    <col min="15369" max="15369" width="11.25" style="7" customWidth="1"/>
    <col min="15370" max="15587" width="9" style="7" customWidth="1"/>
    <col min="15588" max="15588" width="9.625" style="7" customWidth="1"/>
    <col min="15589" max="15589" width="7.625" style="7" customWidth="1"/>
    <col min="15590" max="15590" width="18.5" style="7" customWidth="1"/>
    <col min="15591" max="15591" width="6.625" style="7" customWidth="1"/>
    <col min="15592" max="15592" width="12.25" style="7" customWidth="1"/>
    <col min="15593" max="15593" width="8" style="7" customWidth="1"/>
    <col min="15594" max="15594" width="10.625" style="7" customWidth="1"/>
    <col min="15595" max="15595" width="8" style="7" customWidth="1"/>
    <col min="15596" max="15596" width="11.375" style="7" customWidth="1"/>
    <col min="15597" max="15597" width="11.5" style="7" customWidth="1"/>
    <col min="15598" max="15598" width="8" style="7" customWidth="1"/>
    <col min="15599" max="15599" width="11.25" style="7" customWidth="1"/>
    <col min="15600" max="15600" width="8" style="7" customWidth="1"/>
    <col min="15601" max="15601" width="10.875" style="7" customWidth="1"/>
    <col min="15602" max="15602" width="12.25" style="7" customWidth="1"/>
    <col min="15603" max="15603" width="8" style="7" customWidth="1"/>
    <col min="15604" max="15604" width="11.875" style="7" customWidth="1"/>
    <col min="15605" max="15605" width="8" style="7" customWidth="1"/>
    <col min="15606" max="15606" width="11" style="7" customWidth="1"/>
    <col min="15607" max="15607" width="12.25" style="7" customWidth="1"/>
    <col min="15608" max="15608" width="8" style="7" customWidth="1"/>
    <col min="15609" max="15609" width="11.875" style="7" customWidth="1"/>
    <col min="15610" max="15610" width="8" style="7" customWidth="1"/>
    <col min="15611" max="15611" width="12.25" style="7" customWidth="1"/>
    <col min="15612" max="15612" width="14.25" style="7" customWidth="1"/>
    <col min="15613" max="15613" width="8" style="7" customWidth="1"/>
    <col min="15614" max="15614" width="14" style="7" customWidth="1"/>
    <col min="15615" max="15615" width="8.875" style="7" customWidth="1"/>
    <col min="15616" max="15616" width="15.25" style="7" customWidth="1"/>
    <col min="15617" max="15617" width="16.375" style="7" customWidth="1"/>
    <col min="15618" max="15618" width="8.875" style="7" customWidth="1"/>
    <col min="15619" max="15619" width="9.625" style="7" customWidth="1"/>
    <col min="15620" max="15620" width="8.75" style="7" customWidth="1"/>
    <col min="15621" max="15621" width="12.375" style="7" customWidth="1"/>
    <col min="15622" max="15622" width="8.75" style="7" customWidth="1"/>
    <col min="15623" max="15623" width="11.5" style="7" customWidth="1"/>
    <col min="15624" max="15624" width="6.625" style="7" customWidth="1"/>
    <col min="15625" max="15625" width="11.25" style="7" customWidth="1"/>
    <col min="15626" max="15843" width="9" style="7" customWidth="1"/>
    <col min="15844" max="15844" width="9.625" style="7" customWidth="1"/>
    <col min="15845" max="15845" width="7.625" style="7" customWidth="1"/>
    <col min="15846" max="15846" width="18.5" style="7" customWidth="1"/>
    <col min="15847" max="15847" width="6.625" style="7" customWidth="1"/>
    <col min="15848" max="15848" width="12.25" style="7" customWidth="1"/>
    <col min="15849" max="15849" width="8" style="7" customWidth="1"/>
    <col min="15850" max="15850" width="10.625" style="7" customWidth="1"/>
    <col min="15851" max="15851" width="8" style="7" customWidth="1"/>
    <col min="15852" max="15852" width="11.375" style="7" customWidth="1"/>
    <col min="15853" max="15853" width="11.5" style="7" customWidth="1"/>
    <col min="15854" max="15854" width="8" style="7" customWidth="1"/>
    <col min="15855" max="15855" width="11.25" style="7" customWidth="1"/>
    <col min="15856" max="15856" width="8" style="7" customWidth="1"/>
    <col min="15857" max="15857" width="10.875" style="7" customWidth="1"/>
    <col min="15858" max="15858" width="12.25" style="7" customWidth="1"/>
    <col min="15859" max="15859" width="8" style="7" customWidth="1"/>
    <col min="15860" max="15860" width="11.875" style="7" customWidth="1"/>
    <col min="15861" max="15861" width="8" style="7" customWidth="1"/>
    <col min="15862" max="15862" width="11" style="7" customWidth="1"/>
    <col min="15863" max="15863" width="12.25" style="7" customWidth="1"/>
    <col min="15864" max="15864" width="8" style="7" customWidth="1"/>
    <col min="15865" max="15865" width="11.875" style="7" customWidth="1"/>
    <col min="15866" max="15866" width="8" style="7" customWidth="1"/>
    <col min="15867" max="15867" width="12.25" style="7" customWidth="1"/>
    <col min="15868" max="15868" width="14.25" style="7" customWidth="1"/>
    <col min="15869" max="15869" width="8" style="7" customWidth="1"/>
    <col min="15870" max="15870" width="14" style="7" customWidth="1"/>
    <col min="15871" max="15871" width="8.875" style="7" customWidth="1"/>
    <col min="15872" max="15872" width="15.25" style="7" customWidth="1"/>
    <col min="15873" max="15873" width="16.375" style="7" customWidth="1"/>
    <col min="15874" max="15874" width="8.875" style="7" customWidth="1"/>
    <col min="15875" max="15875" width="9.625" style="7" customWidth="1"/>
    <col min="15876" max="15876" width="8.75" style="7" customWidth="1"/>
    <col min="15877" max="15877" width="12.375" style="7" customWidth="1"/>
    <col min="15878" max="15878" width="8.75" style="7" customWidth="1"/>
    <col min="15879" max="15879" width="11.5" style="7" customWidth="1"/>
    <col min="15880" max="15880" width="6.625" style="7" customWidth="1"/>
    <col min="15881" max="15881" width="11.25" style="7" customWidth="1"/>
    <col min="15882" max="16099" width="9" style="7" customWidth="1"/>
    <col min="16100" max="16100" width="9.625" style="7" customWidth="1"/>
    <col min="16101" max="16101" width="7.625" style="7" customWidth="1"/>
    <col min="16102" max="16102" width="18.5" style="7" customWidth="1"/>
    <col min="16103" max="16103" width="6.625" style="7" customWidth="1"/>
    <col min="16104" max="16104" width="12.25" style="7" customWidth="1"/>
    <col min="16105" max="16105" width="8" style="7" customWidth="1"/>
    <col min="16106" max="16106" width="10.625" style="7" customWidth="1"/>
    <col min="16107" max="16107" width="8" style="7" customWidth="1"/>
    <col min="16108" max="16108" width="11.375" style="7" customWidth="1"/>
    <col min="16109" max="16109" width="11.5" style="7" customWidth="1"/>
    <col min="16110" max="16110" width="8" style="7" customWidth="1"/>
    <col min="16111" max="16111" width="11.25" style="7" customWidth="1"/>
    <col min="16112" max="16112" width="8" style="7" customWidth="1"/>
    <col min="16113" max="16113" width="10.875" style="7" customWidth="1"/>
    <col min="16114" max="16114" width="12.25" style="7" customWidth="1"/>
    <col min="16115" max="16115" width="8" style="7" customWidth="1"/>
    <col min="16116" max="16116" width="11.875" style="7" customWidth="1"/>
    <col min="16117" max="16117" width="8" style="7" customWidth="1"/>
    <col min="16118" max="16118" width="11" style="7" customWidth="1"/>
    <col min="16119" max="16119" width="12.25" style="7" customWidth="1"/>
    <col min="16120" max="16120" width="8" style="7" customWidth="1"/>
    <col min="16121" max="16121" width="11.875" style="7" customWidth="1"/>
    <col min="16122" max="16122" width="8" style="7" customWidth="1"/>
    <col min="16123" max="16123" width="12.25" style="7" customWidth="1"/>
    <col min="16124" max="16124" width="14.25" style="7" customWidth="1"/>
    <col min="16125" max="16125" width="8" style="7" customWidth="1"/>
    <col min="16126" max="16126" width="14" style="7" customWidth="1"/>
    <col min="16127" max="16127" width="8.875" style="7" customWidth="1"/>
    <col min="16128" max="16128" width="15.25" style="7" customWidth="1"/>
    <col min="16129" max="16129" width="16.375" style="7" customWidth="1"/>
    <col min="16130" max="16130" width="8.875" style="7" customWidth="1"/>
    <col min="16131" max="16131" width="9.625" style="7" customWidth="1"/>
    <col min="16132" max="16132" width="8.75" style="7" customWidth="1"/>
    <col min="16133" max="16133" width="12.375" style="7" customWidth="1"/>
    <col min="16134" max="16134" width="8.75" style="7" customWidth="1"/>
    <col min="16135" max="16135" width="11.5" style="7" customWidth="1"/>
    <col min="16136" max="16136" width="6.625" style="7" customWidth="1"/>
    <col min="16137" max="16137" width="11.25" style="7" customWidth="1"/>
    <col min="16138" max="16382" width="9" style="7" customWidth="1"/>
    <col min="16383" max="16384" width="9" style="7"/>
  </cols>
  <sheetData>
    <row r="2" spans="1:16" ht="30" customHeight="1" thickBot="1" x14ac:dyDescent="0.35">
      <c r="A2" s="119" t="s">
        <v>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6" ht="20.100000000000001" customHeight="1" thickBo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57" t="s">
        <v>740</v>
      </c>
      <c r="P3" s="58">
        <f>SUM(I129)</f>
        <v>86180</v>
      </c>
    </row>
    <row r="4" spans="1:16" ht="20.100000000000001" customHeight="1" thickBot="1" x14ac:dyDescent="0.35">
      <c r="O4" s="57" t="s">
        <v>1</v>
      </c>
      <c r="P4" s="58">
        <f>SUM(O129)</f>
        <v>349741000</v>
      </c>
    </row>
    <row r="5" spans="1:16" ht="20.100000000000001" customHeight="1" thickBot="1" x14ac:dyDescent="0.35">
      <c r="O5" s="9"/>
      <c r="P5" s="9"/>
    </row>
    <row r="6" spans="1:16" s="5" customFormat="1" ht="20.100000000000001" customHeight="1" x14ac:dyDescent="0.3">
      <c r="A6" s="120" t="s">
        <v>2</v>
      </c>
      <c r="B6" s="122" t="s">
        <v>3</v>
      </c>
      <c r="C6" s="124" t="s">
        <v>4</v>
      </c>
      <c r="D6" s="124" t="s">
        <v>5</v>
      </c>
      <c r="E6" s="126" t="s">
        <v>6</v>
      </c>
      <c r="F6" s="128" t="s">
        <v>7</v>
      </c>
      <c r="G6" s="124" t="s">
        <v>8</v>
      </c>
      <c r="H6" s="129" t="s">
        <v>9</v>
      </c>
      <c r="I6" s="131" t="s">
        <v>10</v>
      </c>
      <c r="J6" s="129" t="s">
        <v>11</v>
      </c>
      <c r="K6" s="129" t="s">
        <v>12</v>
      </c>
      <c r="L6" s="129" t="s">
        <v>13</v>
      </c>
      <c r="M6" s="129" t="s">
        <v>14</v>
      </c>
      <c r="N6" s="129" t="s">
        <v>15</v>
      </c>
      <c r="O6" s="131" t="s">
        <v>16</v>
      </c>
      <c r="P6" s="116" t="s">
        <v>17</v>
      </c>
    </row>
    <row r="7" spans="1:16" s="10" customFormat="1" ht="20.100000000000001" customHeight="1" thickBot="1" x14ac:dyDescent="0.35">
      <c r="A7" s="121"/>
      <c r="B7" s="123"/>
      <c r="C7" s="125"/>
      <c r="D7" s="125"/>
      <c r="E7" s="127"/>
      <c r="F7" s="127"/>
      <c r="G7" s="125"/>
      <c r="H7" s="130"/>
      <c r="I7" s="132"/>
      <c r="J7" s="130"/>
      <c r="K7" s="130"/>
      <c r="L7" s="130"/>
      <c r="M7" s="130"/>
      <c r="N7" s="130"/>
      <c r="O7" s="132"/>
      <c r="P7" s="117"/>
    </row>
    <row r="8" spans="1:16" s="10" customFormat="1" ht="20.100000000000001" customHeight="1" x14ac:dyDescent="0.3">
      <c r="A8" s="118" t="s">
        <v>18</v>
      </c>
      <c r="B8" s="11" t="s">
        <v>19</v>
      </c>
      <c r="C8" s="12" t="s">
        <v>20</v>
      </c>
      <c r="D8" s="12">
        <v>1475</v>
      </c>
      <c r="E8" s="12">
        <v>86</v>
      </c>
      <c r="F8" s="12">
        <v>107</v>
      </c>
      <c r="G8" s="12">
        <v>172</v>
      </c>
      <c r="H8" s="13">
        <v>2900</v>
      </c>
      <c r="I8" s="46">
        <v>0</v>
      </c>
      <c r="J8" s="14"/>
      <c r="K8" s="14"/>
      <c r="L8" s="14"/>
      <c r="M8" s="14"/>
      <c r="N8" s="14"/>
      <c r="O8" s="46">
        <f>SUM(I8*G8)</f>
        <v>0</v>
      </c>
      <c r="P8" s="14"/>
    </row>
    <row r="9" spans="1:16" s="10" customFormat="1" ht="20.100000000000001" customHeight="1" x14ac:dyDescent="0.3">
      <c r="A9" s="105"/>
      <c r="B9" s="15" t="s">
        <v>21</v>
      </c>
      <c r="C9" s="16" t="s">
        <v>22</v>
      </c>
      <c r="D9" s="16">
        <v>453</v>
      </c>
      <c r="E9" s="16">
        <v>1486</v>
      </c>
      <c r="F9" s="16">
        <v>1127</v>
      </c>
      <c r="G9" s="16">
        <v>2972</v>
      </c>
      <c r="H9" s="17">
        <v>2900</v>
      </c>
      <c r="I9" s="47">
        <v>1800</v>
      </c>
      <c r="J9" s="18"/>
      <c r="K9" s="18"/>
      <c r="L9" s="18"/>
      <c r="M9" s="18"/>
      <c r="N9" s="18"/>
      <c r="O9" s="46">
        <f>SUM(I9*H9)</f>
        <v>5220000</v>
      </c>
      <c r="P9" s="18"/>
    </row>
    <row r="10" spans="1:16" s="10" customFormat="1" ht="20.100000000000001" customHeight="1" x14ac:dyDescent="0.3">
      <c r="A10" s="105"/>
      <c r="B10" s="15" t="s">
        <v>23</v>
      </c>
      <c r="C10" s="16" t="s">
        <v>24</v>
      </c>
      <c r="D10" s="16">
        <v>127</v>
      </c>
      <c r="E10" s="16">
        <v>38</v>
      </c>
      <c r="F10" s="16">
        <v>1</v>
      </c>
      <c r="G10" s="16">
        <v>76</v>
      </c>
      <c r="H10" s="17">
        <v>6500</v>
      </c>
      <c r="I10" s="47">
        <v>0</v>
      </c>
      <c r="J10" s="18"/>
      <c r="K10" s="18"/>
      <c r="L10" s="18"/>
      <c r="M10" s="18"/>
      <c r="N10" s="18"/>
      <c r="O10" s="46">
        <f t="shared" ref="O10:O45" si="0">SUM(I10*H10)</f>
        <v>0</v>
      </c>
      <c r="P10" s="18"/>
    </row>
    <row r="11" spans="1:16" s="10" customFormat="1" ht="20.100000000000001" customHeight="1" x14ac:dyDescent="0.3">
      <c r="A11" s="105"/>
      <c r="B11" s="15" t="s">
        <v>25</v>
      </c>
      <c r="C11" s="16" t="s">
        <v>26</v>
      </c>
      <c r="D11" s="16">
        <v>112</v>
      </c>
      <c r="E11" s="16">
        <v>68</v>
      </c>
      <c r="F11" s="16">
        <v>0</v>
      </c>
      <c r="G11" s="16">
        <v>136</v>
      </c>
      <c r="H11" s="17">
        <v>6500</v>
      </c>
      <c r="I11" s="47">
        <v>0</v>
      </c>
      <c r="J11" s="18"/>
      <c r="K11" s="18"/>
      <c r="L11" s="18"/>
      <c r="M11" s="18"/>
      <c r="N11" s="18"/>
      <c r="O11" s="46">
        <f t="shared" si="0"/>
        <v>0</v>
      </c>
      <c r="P11" s="18"/>
    </row>
    <row r="12" spans="1:16" s="10" customFormat="1" ht="20.100000000000001" customHeight="1" x14ac:dyDescent="0.3">
      <c r="A12" s="105"/>
      <c r="B12" s="15" t="s">
        <v>27</v>
      </c>
      <c r="C12" s="16" t="s">
        <v>28</v>
      </c>
      <c r="D12" s="16">
        <v>1954</v>
      </c>
      <c r="E12" s="16">
        <v>136</v>
      </c>
      <c r="F12" s="16">
        <v>107</v>
      </c>
      <c r="G12" s="16">
        <v>272</v>
      </c>
      <c r="H12" s="17">
        <v>2900</v>
      </c>
      <c r="I12" s="47">
        <v>0</v>
      </c>
      <c r="J12" s="18"/>
      <c r="K12" s="18"/>
      <c r="L12" s="18"/>
      <c r="M12" s="18"/>
      <c r="N12" s="18"/>
      <c r="O12" s="46">
        <f t="shared" si="0"/>
        <v>0</v>
      </c>
      <c r="P12" s="18"/>
    </row>
    <row r="13" spans="1:16" s="10" customFormat="1" ht="20.100000000000001" customHeight="1" x14ac:dyDescent="0.3">
      <c r="A13" s="105"/>
      <c r="B13" s="15" t="s">
        <v>29</v>
      </c>
      <c r="C13" s="16" t="s">
        <v>30</v>
      </c>
      <c r="D13" s="16">
        <v>2631</v>
      </c>
      <c r="E13" s="16">
        <v>366</v>
      </c>
      <c r="F13" s="16">
        <v>298</v>
      </c>
      <c r="G13" s="16">
        <v>732</v>
      </c>
      <c r="H13" s="17">
        <v>2900</v>
      </c>
      <c r="I13" s="47">
        <v>0</v>
      </c>
      <c r="J13" s="18"/>
      <c r="K13" s="18"/>
      <c r="L13" s="18"/>
      <c r="M13" s="18"/>
      <c r="N13" s="18"/>
      <c r="O13" s="46">
        <f t="shared" si="0"/>
        <v>0</v>
      </c>
      <c r="P13" s="18"/>
    </row>
    <row r="14" spans="1:16" s="10" customFormat="1" ht="20.100000000000001" customHeight="1" x14ac:dyDescent="0.3">
      <c r="A14" s="105"/>
      <c r="B14" s="15" t="s">
        <v>31</v>
      </c>
      <c r="C14" s="16" t="s">
        <v>32</v>
      </c>
      <c r="D14" s="16">
        <v>464</v>
      </c>
      <c r="E14" s="16">
        <v>8</v>
      </c>
      <c r="F14" s="16">
        <v>7</v>
      </c>
      <c r="G14" s="16">
        <v>16</v>
      </c>
      <c r="H14" s="17">
        <v>6500</v>
      </c>
      <c r="I14" s="47">
        <v>0</v>
      </c>
      <c r="J14" s="18"/>
      <c r="K14" s="18"/>
      <c r="L14" s="18"/>
      <c r="M14" s="18"/>
      <c r="N14" s="18"/>
      <c r="O14" s="46">
        <f t="shared" si="0"/>
        <v>0</v>
      </c>
      <c r="P14" s="18"/>
    </row>
    <row r="15" spans="1:16" s="10" customFormat="1" ht="20.100000000000001" customHeight="1" x14ac:dyDescent="0.3">
      <c r="A15" s="105"/>
      <c r="B15" s="15" t="s">
        <v>33</v>
      </c>
      <c r="C15" s="16" t="s">
        <v>34</v>
      </c>
      <c r="D15" s="16">
        <v>104</v>
      </c>
      <c r="E15" s="16">
        <v>31</v>
      </c>
      <c r="F15" s="16">
        <v>0</v>
      </c>
      <c r="G15" s="16">
        <v>62</v>
      </c>
      <c r="H15" s="17">
        <v>6500</v>
      </c>
      <c r="I15" s="47">
        <v>0</v>
      </c>
      <c r="J15" s="18"/>
      <c r="K15" s="18"/>
      <c r="L15" s="18"/>
      <c r="M15" s="18"/>
      <c r="N15" s="18"/>
      <c r="O15" s="46">
        <f t="shared" si="0"/>
        <v>0</v>
      </c>
      <c r="P15" s="18"/>
    </row>
    <row r="16" spans="1:16" s="10" customFormat="1" ht="20.100000000000001" customHeight="1" x14ac:dyDescent="0.3">
      <c r="A16" s="106" t="s">
        <v>35</v>
      </c>
      <c r="B16" s="107"/>
      <c r="C16" s="107"/>
      <c r="D16" s="107"/>
      <c r="E16" s="107"/>
      <c r="F16" s="107"/>
      <c r="G16" s="107"/>
      <c r="H16" s="95"/>
      <c r="I16" s="48">
        <f>SUM(I8:I15)</f>
        <v>1800</v>
      </c>
      <c r="J16" s="19"/>
      <c r="K16" s="19"/>
      <c r="L16" s="19"/>
      <c r="M16" s="19"/>
      <c r="N16" s="19"/>
      <c r="O16" s="48">
        <f>SUM(O8:O15)</f>
        <v>5220000</v>
      </c>
      <c r="P16" s="18"/>
    </row>
    <row r="17" spans="1:16" s="10" customFormat="1" ht="20.100000000000001" customHeight="1" x14ac:dyDescent="0.3">
      <c r="A17" s="114" t="s">
        <v>36</v>
      </c>
      <c r="B17" s="15" t="s">
        <v>37</v>
      </c>
      <c r="C17" s="16" t="s">
        <v>38</v>
      </c>
      <c r="D17" s="16">
        <v>0</v>
      </c>
      <c r="E17" s="16">
        <v>332</v>
      </c>
      <c r="F17" s="16">
        <v>493</v>
      </c>
      <c r="G17" s="16">
        <v>664</v>
      </c>
      <c r="H17" s="17">
        <v>1300</v>
      </c>
      <c r="I17" s="47">
        <v>1200</v>
      </c>
      <c r="J17" s="18"/>
      <c r="K17" s="18"/>
      <c r="L17" s="18"/>
      <c r="M17" s="18"/>
      <c r="N17" s="18"/>
      <c r="O17" s="46">
        <f t="shared" si="0"/>
        <v>1560000</v>
      </c>
      <c r="P17" s="18"/>
    </row>
    <row r="18" spans="1:16" s="10" customFormat="1" ht="20.100000000000001" customHeight="1" x14ac:dyDescent="0.3">
      <c r="A18" s="105"/>
      <c r="B18" s="15" t="s">
        <v>39</v>
      </c>
      <c r="C18" s="16" t="s">
        <v>40</v>
      </c>
      <c r="D18" s="16">
        <v>0</v>
      </c>
      <c r="E18" s="16">
        <v>151</v>
      </c>
      <c r="F18" s="16">
        <v>0</v>
      </c>
      <c r="G18" s="16">
        <v>227</v>
      </c>
      <c r="H18" s="17">
        <v>1300</v>
      </c>
      <c r="I18" s="47">
        <v>600</v>
      </c>
      <c r="J18" s="18"/>
      <c r="K18" s="18"/>
      <c r="L18" s="18"/>
      <c r="M18" s="18"/>
      <c r="N18" s="18"/>
      <c r="O18" s="46">
        <f t="shared" si="0"/>
        <v>780000</v>
      </c>
      <c r="P18" s="18"/>
    </row>
    <row r="19" spans="1:16" s="10" customFormat="1" ht="20.100000000000001" customHeight="1" x14ac:dyDescent="0.3">
      <c r="A19" s="105"/>
      <c r="B19" s="15" t="s">
        <v>41</v>
      </c>
      <c r="C19" s="16" t="s">
        <v>42</v>
      </c>
      <c r="D19" s="16">
        <v>2230</v>
      </c>
      <c r="E19" s="16">
        <v>356</v>
      </c>
      <c r="F19" s="16">
        <v>372</v>
      </c>
      <c r="G19" s="16">
        <v>712</v>
      </c>
      <c r="H19" s="17">
        <v>1700</v>
      </c>
      <c r="I19" s="47">
        <v>0</v>
      </c>
      <c r="J19" s="18"/>
      <c r="K19" s="18"/>
      <c r="L19" s="18"/>
      <c r="M19" s="18"/>
      <c r="N19" s="18"/>
      <c r="O19" s="46">
        <f t="shared" si="0"/>
        <v>0</v>
      </c>
      <c r="P19" s="18"/>
    </row>
    <row r="20" spans="1:16" s="10" customFormat="1" ht="20.100000000000001" customHeight="1" x14ac:dyDescent="0.3">
      <c r="A20" s="105"/>
      <c r="B20" s="15" t="s">
        <v>43</v>
      </c>
      <c r="C20" s="16" t="s">
        <v>44</v>
      </c>
      <c r="D20" s="16">
        <v>1145</v>
      </c>
      <c r="E20" s="16">
        <v>162</v>
      </c>
      <c r="F20" s="16">
        <v>100</v>
      </c>
      <c r="G20" s="16">
        <v>324</v>
      </c>
      <c r="H20" s="17">
        <v>1700</v>
      </c>
      <c r="I20" s="47">
        <v>0</v>
      </c>
      <c r="J20" s="18"/>
      <c r="K20" s="18"/>
      <c r="L20" s="18"/>
      <c r="M20" s="18"/>
      <c r="N20" s="18"/>
      <c r="O20" s="46">
        <f t="shared" si="0"/>
        <v>0</v>
      </c>
      <c r="P20" s="18"/>
    </row>
    <row r="21" spans="1:16" s="10" customFormat="1" ht="20.100000000000001" customHeight="1" x14ac:dyDescent="0.3">
      <c r="A21" s="106" t="s">
        <v>35</v>
      </c>
      <c r="B21" s="107"/>
      <c r="C21" s="107"/>
      <c r="D21" s="107"/>
      <c r="E21" s="107"/>
      <c r="F21" s="107"/>
      <c r="G21" s="107"/>
      <c r="H21" s="95"/>
      <c r="I21" s="48">
        <f>SUM(I17:I20)</f>
        <v>1800</v>
      </c>
      <c r="J21" s="19"/>
      <c r="K21" s="19"/>
      <c r="L21" s="19"/>
      <c r="M21" s="19"/>
      <c r="N21" s="19"/>
      <c r="O21" s="48">
        <f>SUM(O17:O20)</f>
        <v>2340000</v>
      </c>
      <c r="P21" s="18"/>
    </row>
    <row r="22" spans="1:16" s="10" customFormat="1" ht="20.100000000000001" customHeight="1" x14ac:dyDescent="0.3">
      <c r="A22" s="114" t="s">
        <v>45</v>
      </c>
      <c r="B22" s="15" t="s">
        <v>46</v>
      </c>
      <c r="C22" s="16" t="s">
        <v>47</v>
      </c>
      <c r="D22" s="16">
        <v>1041</v>
      </c>
      <c r="E22" s="16">
        <v>591</v>
      </c>
      <c r="F22" s="16">
        <v>577</v>
      </c>
      <c r="G22" s="16">
        <v>1182</v>
      </c>
      <c r="H22" s="17">
        <v>5300</v>
      </c>
      <c r="I22" s="47">
        <v>1080</v>
      </c>
      <c r="J22" s="18"/>
      <c r="K22" s="18"/>
      <c r="L22" s="18"/>
      <c r="M22" s="18"/>
      <c r="N22" s="18"/>
      <c r="O22" s="46">
        <f t="shared" si="0"/>
        <v>5724000</v>
      </c>
      <c r="P22" s="18"/>
    </row>
    <row r="23" spans="1:16" s="10" customFormat="1" ht="20.100000000000001" customHeight="1" x14ac:dyDescent="0.3">
      <c r="A23" s="114"/>
      <c r="B23" s="15" t="s">
        <v>48</v>
      </c>
      <c r="C23" s="16" t="s">
        <v>49</v>
      </c>
      <c r="D23" s="16">
        <v>1388</v>
      </c>
      <c r="E23" s="16">
        <v>427</v>
      </c>
      <c r="F23" s="16">
        <v>440</v>
      </c>
      <c r="G23" s="16">
        <v>854</v>
      </c>
      <c r="H23" s="17">
        <v>5300</v>
      </c>
      <c r="I23" s="47">
        <v>480</v>
      </c>
      <c r="J23" s="18"/>
      <c r="K23" s="18"/>
      <c r="L23" s="18"/>
      <c r="M23" s="18"/>
      <c r="N23" s="18"/>
      <c r="O23" s="46">
        <f t="shared" si="0"/>
        <v>2544000</v>
      </c>
      <c r="P23" s="18"/>
    </row>
    <row r="24" spans="1:16" s="10" customFormat="1" ht="20.100000000000001" customHeight="1" x14ac:dyDescent="0.3">
      <c r="A24" s="114"/>
      <c r="B24" s="15" t="s">
        <v>50</v>
      </c>
      <c r="C24" s="16" t="s">
        <v>51</v>
      </c>
      <c r="D24" s="16">
        <v>2269</v>
      </c>
      <c r="E24" s="16">
        <v>274</v>
      </c>
      <c r="F24" s="16">
        <v>213</v>
      </c>
      <c r="G24" s="16">
        <v>548</v>
      </c>
      <c r="H24" s="17">
        <v>5300</v>
      </c>
      <c r="I24" s="47">
        <v>0</v>
      </c>
      <c r="J24" s="18"/>
      <c r="K24" s="18"/>
      <c r="L24" s="18"/>
      <c r="M24" s="18"/>
      <c r="N24" s="18"/>
      <c r="O24" s="46">
        <f t="shared" si="0"/>
        <v>0</v>
      </c>
      <c r="P24" s="18"/>
    </row>
    <row r="25" spans="1:16" s="10" customFormat="1" ht="20.100000000000001" customHeight="1" x14ac:dyDescent="0.3">
      <c r="A25" s="114"/>
      <c r="B25" s="15" t="s">
        <v>52</v>
      </c>
      <c r="C25" s="16" t="s">
        <v>53</v>
      </c>
      <c r="D25" s="16">
        <v>6958</v>
      </c>
      <c r="E25" s="16">
        <v>2403</v>
      </c>
      <c r="F25" s="16">
        <v>1979</v>
      </c>
      <c r="G25" s="16">
        <v>4806</v>
      </c>
      <c r="H25" s="17">
        <v>5300</v>
      </c>
      <c r="I25" s="47">
        <v>360</v>
      </c>
      <c r="J25" s="18"/>
      <c r="K25" s="18"/>
      <c r="L25" s="18"/>
      <c r="M25" s="18"/>
      <c r="N25" s="18"/>
      <c r="O25" s="46">
        <f t="shared" si="0"/>
        <v>1908000</v>
      </c>
      <c r="P25" s="18"/>
    </row>
    <row r="26" spans="1:16" s="10" customFormat="1" ht="20.100000000000001" customHeight="1" x14ac:dyDescent="0.3">
      <c r="A26" s="114"/>
      <c r="B26" s="15" t="s">
        <v>54</v>
      </c>
      <c r="C26" s="16" t="s">
        <v>55</v>
      </c>
      <c r="D26" s="16">
        <v>4624</v>
      </c>
      <c r="E26" s="16">
        <v>1087</v>
      </c>
      <c r="F26" s="16">
        <v>827</v>
      </c>
      <c r="G26" s="16">
        <v>2174</v>
      </c>
      <c r="H26" s="17">
        <v>5300</v>
      </c>
      <c r="I26" s="47">
        <v>0</v>
      </c>
      <c r="J26" s="18"/>
      <c r="K26" s="18"/>
      <c r="L26" s="18"/>
      <c r="M26" s="18"/>
      <c r="N26" s="18"/>
      <c r="O26" s="46">
        <f t="shared" si="0"/>
        <v>0</v>
      </c>
      <c r="P26" s="18"/>
    </row>
    <row r="27" spans="1:16" s="10" customFormat="1" ht="20.100000000000001" customHeight="1" x14ac:dyDescent="0.3">
      <c r="A27" s="114"/>
      <c r="B27" s="15" t="s">
        <v>56</v>
      </c>
      <c r="C27" s="16" t="s">
        <v>57</v>
      </c>
      <c r="D27" s="16">
        <v>810</v>
      </c>
      <c r="E27" s="16">
        <v>808</v>
      </c>
      <c r="F27" s="16">
        <v>617</v>
      </c>
      <c r="G27" s="16">
        <v>1616</v>
      </c>
      <c r="H27" s="17">
        <v>5300</v>
      </c>
      <c r="I27" s="47">
        <v>600</v>
      </c>
      <c r="J27" s="18"/>
      <c r="K27" s="18"/>
      <c r="L27" s="18"/>
      <c r="M27" s="18"/>
      <c r="N27" s="18"/>
      <c r="O27" s="46">
        <f t="shared" si="0"/>
        <v>3180000</v>
      </c>
      <c r="P27" s="18"/>
    </row>
    <row r="28" spans="1:16" s="10" customFormat="1" ht="20.100000000000001" customHeight="1" x14ac:dyDescent="0.3">
      <c r="A28" s="114"/>
      <c r="B28" s="15" t="s">
        <v>58</v>
      </c>
      <c r="C28" s="16" t="s">
        <v>59</v>
      </c>
      <c r="D28" s="16">
        <v>573</v>
      </c>
      <c r="E28" s="16">
        <v>104</v>
      </c>
      <c r="F28" s="16">
        <v>85</v>
      </c>
      <c r="G28" s="16">
        <v>208</v>
      </c>
      <c r="H28" s="17">
        <v>5300</v>
      </c>
      <c r="I28" s="47">
        <v>0</v>
      </c>
      <c r="J28" s="18"/>
      <c r="K28" s="18"/>
      <c r="L28" s="18"/>
      <c r="M28" s="18"/>
      <c r="N28" s="18"/>
      <c r="O28" s="46">
        <f t="shared" si="0"/>
        <v>0</v>
      </c>
      <c r="P28" s="18"/>
    </row>
    <row r="29" spans="1:16" s="10" customFormat="1" ht="20.100000000000001" customHeight="1" x14ac:dyDescent="0.3">
      <c r="A29" s="114"/>
      <c r="B29" s="15" t="s">
        <v>60</v>
      </c>
      <c r="C29" s="16" t="s">
        <v>61</v>
      </c>
      <c r="D29" s="16">
        <v>613</v>
      </c>
      <c r="E29" s="16">
        <v>66</v>
      </c>
      <c r="F29" s="16">
        <v>58</v>
      </c>
      <c r="G29" s="16">
        <v>132</v>
      </c>
      <c r="H29" s="17">
        <v>5300</v>
      </c>
      <c r="I29" s="47">
        <v>0</v>
      </c>
      <c r="J29" s="18"/>
      <c r="K29" s="18"/>
      <c r="L29" s="18"/>
      <c r="M29" s="18"/>
      <c r="N29" s="18"/>
      <c r="O29" s="46">
        <f t="shared" si="0"/>
        <v>0</v>
      </c>
      <c r="P29" s="18"/>
    </row>
    <row r="30" spans="1:16" s="10" customFormat="1" ht="20.100000000000001" customHeight="1" x14ac:dyDescent="0.3">
      <c r="A30" s="114"/>
      <c r="B30" s="15" t="s">
        <v>62</v>
      </c>
      <c r="C30" s="16" t="s">
        <v>63</v>
      </c>
      <c r="D30" s="16">
        <v>503</v>
      </c>
      <c r="E30" s="16">
        <v>26</v>
      </c>
      <c r="F30" s="16">
        <v>11</v>
      </c>
      <c r="G30" s="16">
        <v>52</v>
      </c>
      <c r="H30" s="17">
        <v>5300</v>
      </c>
      <c r="I30" s="47">
        <v>0</v>
      </c>
      <c r="J30" s="18"/>
      <c r="K30" s="18"/>
      <c r="L30" s="18"/>
      <c r="M30" s="18"/>
      <c r="N30" s="18"/>
      <c r="O30" s="46">
        <f t="shared" si="0"/>
        <v>0</v>
      </c>
      <c r="P30" s="18"/>
    </row>
    <row r="31" spans="1:16" s="10" customFormat="1" ht="20.100000000000001" customHeight="1" x14ac:dyDescent="0.3">
      <c r="A31" s="114"/>
      <c r="B31" s="15" t="s">
        <v>64</v>
      </c>
      <c r="C31" s="16" t="s">
        <v>65</v>
      </c>
      <c r="D31" s="16">
        <v>2902</v>
      </c>
      <c r="E31" s="16">
        <v>750</v>
      </c>
      <c r="F31" s="16">
        <v>626</v>
      </c>
      <c r="G31" s="16">
        <v>1500</v>
      </c>
      <c r="H31" s="17">
        <v>5300</v>
      </c>
      <c r="I31" s="47">
        <v>600</v>
      </c>
      <c r="J31" s="18"/>
      <c r="K31" s="18"/>
      <c r="L31" s="18"/>
      <c r="M31" s="18"/>
      <c r="N31" s="18"/>
      <c r="O31" s="46">
        <f t="shared" si="0"/>
        <v>3180000</v>
      </c>
      <c r="P31" s="18"/>
    </row>
    <row r="32" spans="1:16" s="10" customFormat="1" ht="20.100000000000001" customHeight="1" x14ac:dyDescent="0.3">
      <c r="A32" s="114"/>
      <c r="B32" s="15" t="s">
        <v>66</v>
      </c>
      <c r="C32" s="16" t="s">
        <v>67</v>
      </c>
      <c r="D32" s="16">
        <v>2702</v>
      </c>
      <c r="E32" s="16">
        <v>238</v>
      </c>
      <c r="F32" s="16">
        <v>192</v>
      </c>
      <c r="G32" s="16">
        <v>476</v>
      </c>
      <c r="H32" s="17">
        <v>5300</v>
      </c>
      <c r="I32" s="47">
        <v>0</v>
      </c>
      <c r="J32" s="18"/>
      <c r="K32" s="18"/>
      <c r="L32" s="18"/>
      <c r="M32" s="18"/>
      <c r="N32" s="18"/>
      <c r="O32" s="46">
        <f t="shared" si="0"/>
        <v>0</v>
      </c>
      <c r="P32" s="18"/>
    </row>
    <row r="33" spans="1:16" s="10" customFormat="1" ht="20.100000000000001" customHeight="1" x14ac:dyDescent="0.3">
      <c r="A33" s="114"/>
      <c r="B33" s="15" t="s">
        <v>68</v>
      </c>
      <c r="C33" s="16" t="s">
        <v>69</v>
      </c>
      <c r="D33" s="16">
        <v>999</v>
      </c>
      <c r="E33" s="16">
        <v>127</v>
      </c>
      <c r="F33" s="16">
        <v>104</v>
      </c>
      <c r="G33" s="16">
        <v>254</v>
      </c>
      <c r="H33" s="17">
        <v>5300</v>
      </c>
      <c r="I33" s="47">
        <v>0</v>
      </c>
      <c r="J33" s="18"/>
      <c r="K33" s="18"/>
      <c r="L33" s="18"/>
      <c r="M33" s="18"/>
      <c r="N33" s="18"/>
      <c r="O33" s="46">
        <f t="shared" si="0"/>
        <v>0</v>
      </c>
      <c r="P33" s="18"/>
    </row>
    <row r="34" spans="1:16" s="10" customFormat="1" ht="20.100000000000001" customHeight="1" x14ac:dyDescent="0.3">
      <c r="A34" s="114"/>
      <c r="B34" s="15" t="s">
        <v>70</v>
      </c>
      <c r="C34" s="16" t="s">
        <v>71</v>
      </c>
      <c r="D34" s="16">
        <v>1428</v>
      </c>
      <c r="E34" s="16">
        <v>488</v>
      </c>
      <c r="F34" s="16">
        <v>462</v>
      </c>
      <c r="G34" s="16">
        <v>976</v>
      </c>
      <c r="H34" s="17">
        <v>5300</v>
      </c>
      <c r="I34" s="47">
        <v>0</v>
      </c>
      <c r="J34" s="18"/>
      <c r="K34" s="18"/>
      <c r="L34" s="18"/>
      <c r="M34" s="18"/>
      <c r="N34" s="18"/>
      <c r="O34" s="46">
        <f t="shared" si="0"/>
        <v>0</v>
      </c>
      <c r="P34" s="18"/>
    </row>
    <row r="35" spans="1:16" s="10" customFormat="1" ht="20.100000000000001" customHeight="1" x14ac:dyDescent="0.3">
      <c r="A35" s="114"/>
      <c r="B35" s="15" t="s">
        <v>72</v>
      </c>
      <c r="C35" s="16" t="s">
        <v>73</v>
      </c>
      <c r="D35" s="16">
        <v>1243</v>
      </c>
      <c r="E35" s="16">
        <v>338</v>
      </c>
      <c r="F35" s="16">
        <v>237</v>
      </c>
      <c r="G35" s="16">
        <v>676</v>
      </c>
      <c r="H35" s="17">
        <v>5300</v>
      </c>
      <c r="I35" s="47">
        <v>0</v>
      </c>
      <c r="J35" s="18"/>
      <c r="K35" s="18"/>
      <c r="L35" s="18"/>
      <c r="M35" s="18"/>
      <c r="N35" s="18"/>
      <c r="O35" s="46">
        <f t="shared" si="0"/>
        <v>0</v>
      </c>
      <c r="P35" s="18"/>
    </row>
    <row r="36" spans="1:16" s="10" customFormat="1" ht="20.100000000000001" customHeight="1" x14ac:dyDescent="0.3">
      <c r="A36" s="114"/>
      <c r="B36" s="15" t="s">
        <v>74</v>
      </c>
      <c r="C36" s="16" t="s">
        <v>75</v>
      </c>
      <c r="D36" s="16">
        <v>1304</v>
      </c>
      <c r="E36" s="16">
        <v>68</v>
      </c>
      <c r="F36" s="16">
        <v>56</v>
      </c>
      <c r="G36" s="16">
        <v>136</v>
      </c>
      <c r="H36" s="17">
        <v>5300</v>
      </c>
      <c r="I36" s="47">
        <v>0</v>
      </c>
      <c r="J36" s="18"/>
      <c r="K36" s="18"/>
      <c r="L36" s="18"/>
      <c r="M36" s="18"/>
      <c r="N36" s="18"/>
      <c r="O36" s="46">
        <f t="shared" si="0"/>
        <v>0</v>
      </c>
      <c r="P36" s="18"/>
    </row>
    <row r="37" spans="1:16" s="10" customFormat="1" ht="20.100000000000001" customHeight="1" x14ac:dyDescent="0.3">
      <c r="A37" s="114"/>
      <c r="B37" s="15" t="s">
        <v>76</v>
      </c>
      <c r="C37" s="16" t="s">
        <v>77</v>
      </c>
      <c r="D37" s="16">
        <v>1575</v>
      </c>
      <c r="E37" s="16">
        <v>242</v>
      </c>
      <c r="F37" s="16">
        <v>275</v>
      </c>
      <c r="G37" s="16">
        <v>484</v>
      </c>
      <c r="H37" s="17">
        <v>5300</v>
      </c>
      <c r="I37" s="47">
        <v>0</v>
      </c>
      <c r="J37" s="18"/>
      <c r="K37" s="18"/>
      <c r="L37" s="18"/>
      <c r="M37" s="18"/>
      <c r="N37" s="18"/>
      <c r="O37" s="46">
        <f t="shared" si="0"/>
        <v>0</v>
      </c>
      <c r="P37" s="18"/>
    </row>
    <row r="38" spans="1:16" s="10" customFormat="1" ht="20.100000000000001" customHeight="1" x14ac:dyDescent="0.3">
      <c r="A38" s="114"/>
      <c r="B38" s="15" t="s">
        <v>78</v>
      </c>
      <c r="C38" s="16" t="s">
        <v>79</v>
      </c>
      <c r="D38" s="16">
        <v>808</v>
      </c>
      <c r="E38" s="16">
        <v>161</v>
      </c>
      <c r="F38" s="16">
        <v>162</v>
      </c>
      <c r="G38" s="16">
        <v>322</v>
      </c>
      <c r="H38" s="17">
        <v>5300</v>
      </c>
      <c r="I38" s="47">
        <v>0</v>
      </c>
      <c r="J38" s="18"/>
      <c r="K38" s="18"/>
      <c r="L38" s="18"/>
      <c r="M38" s="18"/>
      <c r="N38" s="18"/>
      <c r="O38" s="46">
        <f t="shared" si="0"/>
        <v>0</v>
      </c>
      <c r="P38" s="18"/>
    </row>
    <row r="39" spans="1:16" s="10" customFormat="1" ht="20.100000000000001" customHeight="1" x14ac:dyDescent="0.3">
      <c r="A39" s="114"/>
      <c r="B39" s="15" t="s">
        <v>80</v>
      </c>
      <c r="C39" s="16" t="s">
        <v>81</v>
      </c>
      <c r="D39" s="16">
        <v>1086</v>
      </c>
      <c r="E39" s="16">
        <v>39</v>
      </c>
      <c r="F39" s="16">
        <v>23</v>
      </c>
      <c r="G39" s="16">
        <v>78</v>
      </c>
      <c r="H39" s="17">
        <v>5300</v>
      </c>
      <c r="I39" s="47">
        <v>0</v>
      </c>
      <c r="J39" s="18"/>
      <c r="K39" s="18"/>
      <c r="L39" s="18"/>
      <c r="M39" s="18"/>
      <c r="N39" s="18"/>
      <c r="O39" s="46">
        <f t="shared" si="0"/>
        <v>0</v>
      </c>
      <c r="P39" s="18"/>
    </row>
    <row r="40" spans="1:16" s="10" customFormat="1" ht="20.100000000000001" customHeight="1" x14ac:dyDescent="0.3">
      <c r="A40" s="114"/>
      <c r="B40" s="15" t="s">
        <v>82</v>
      </c>
      <c r="C40" s="16" t="s">
        <v>83</v>
      </c>
      <c r="D40" s="16">
        <v>660</v>
      </c>
      <c r="E40" s="16">
        <v>464</v>
      </c>
      <c r="F40" s="16">
        <v>400</v>
      </c>
      <c r="G40" s="16">
        <v>928</v>
      </c>
      <c r="H40" s="17">
        <v>5300</v>
      </c>
      <c r="I40" s="47">
        <v>480</v>
      </c>
      <c r="J40" s="18"/>
      <c r="K40" s="18"/>
      <c r="L40" s="18"/>
      <c r="M40" s="18"/>
      <c r="N40" s="18"/>
      <c r="O40" s="46">
        <f t="shared" si="0"/>
        <v>2544000</v>
      </c>
      <c r="P40" s="18"/>
    </row>
    <row r="41" spans="1:16" s="10" customFormat="1" ht="20.100000000000001" customHeight="1" x14ac:dyDescent="0.3">
      <c r="A41" s="114"/>
      <c r="B41" s="15" t="s">
        <v>84</v>
      </c>
      <c r="C41" s="16" t="s">
        <v>85</v>
      </c>
      <c r="D41" s="16">
        <v>1260</v>
      </c>
      <c r="E41" s="16">
        <v>420</v>
      </c>
      <c r="F41" s="16">
        <v>403</v>
      </c>
      <c r="G41" s="16">
        <v>840</v>
      </c>
      <c r="H41" s="17">
        <v>5300</v>
      </c>
      <c r="I41" s="47">
        <v>0</v>
      </c>
      <c r="J41" s="18"/>
      <c r="K41" s="18"/>
      <c r="L41" s="18"/>
      <c r="M41" s="18"/>
      <c r="N41" s="18"/>
      <c r="O41" s="46">
        <f t="shared" si="0"/>
        <v>0</v>
      </c>
      <c r="P41" s="18"/>
    </row>
    <row r="42" spans="1:16" s="10" customFormat="1" ht="20.100000000000001" customHeight="1" x14ac:dyDescent="0.3">
      <c r="A42" s="114"/>
      <c r="B42" s="15" t="s">
        <v>86</v>
      </c>
      <c r="C42" s="16" t="s">
        <v>87</v>
      </c>
      <c r="D42" s="16">
        <v>572</v>
      </c>
      <c r="E42" s="16">
        <v>137</v>
      </c>
      <c r="F42" s="16">
        <v>162</v>
      </c>
      <c r="G42" s="16">
        <v>274</v>
      </c>
      <c r="H42" s="17">
        <v>5300</v>
      </c>
      <c r="I42" s="47">
        <v>240</v>
      </c>
      <c r="J42" s="18"/>
      <c r="K42" s="18"/>
      <c r="L42" s="18"/>
      <c r="M42" s="18"/>
      <c r="N42" s="18"/>
      <c r="O42" s="46">
        <f t="shared" si="0"/>
        <v>1272000</v>
      </c>
      <c r="P42" s="18"/>
    </row>
    <row r="43" spans="1:16" s="10" customFormat="1" ht="20.100000000000001" customHeight="1" x14ac:dyDescent="0.3">
      <c r="A43" s="114"/>
      <c r="B43" s="15" t="s">
        <v>88</v>
      </c>
      <c r="C43" s="16" t="s">
        <v>89</v>
      </c>
      <c r="D43" s="16">
        <v>4525</v>
      </c>
      <c r="E43" s="16">
        <v>1554</v>
      </c>
      <c r="F43" s="16">
        <v>1400</v>
      </c>
      <c r="G43" s="16">
        <v>3108</v>
      </c>
      <c r="H43" s="17">
        <v>5300</v>
      </c>
      <c r="I43" s="47">
        <v>1800</v>
      </c>
      <c r="J43" s="18"/>
      <c r="K43" s="18"/>
      <c r="L43" s="18"/>
      <c r="M43" s="18"/>
      <c r="N43" s="18"/>
      <c r="O43" s="46">
        <f t="shared" si="0"/>
        <v>9540000</v>
      </c>
      <c r="P43" s="18"/>
    </row>
    <row r="44" spans="1:16" s="10" customFormat="1" ht="20.100000000000001" customHeight="1" x14ac:dyDescent="0.3">
      <c r="A44" s="114"/>
      <c r="B44" s="15" t="s">
        <v>90</v>
      </c>
      <c r="C44" s="16" t="s">
        <v>91</v>
      </c>
      <c r="D44" s="16">
        <v>5004</v>
      </c>
      <c r="E44" s="16">
        <v>1393</v>
      </c>
      <c r="F44" s="16">
        <v>1205</v>
      </c>
      <c r="G44" s="16">
        <v>2786</v>
      </c>
      <c r="H44" s="17">
        <v>5300</v>
      </c>
      <c r="I44" s="47">
        <v>1200</v>
      </c>
      <c r="J44" s="18"/>
      <c r="K44" s="18"/>
      <c r="L44" s="18"/>
      <c r="M44" s="18"/>
      <c r="N44" s="18"/>
      <c r="O44" s="46">
        <f t="shared" si="0"/>
        <v>6360000</v>
      </c>
      <c r="P44" s="18"/>
    </row>
    <row r="45" spans="1:16" s="10" customFormat="1" ht="20.100000000000001" customHeight="1" x14ac:dyDescent="0.3">
      <c r="A45" s="114"/>
      <c r="B45" s="15" t="s">
        <v>92</v>
      </c>
      <c r="C45" s="16" t="s">
        <v>93</v>
      </c>
      <c r="D45" s="16">
        <v>2736</v>
      </c>
      <c r="E45" s="16">
        <v>201</v>
      </c>
      <c r="F45" s="16">
        <v>159</v>
      </c>
      <c r="G45" s="16">
        <v>402</v>
      </c>
      <c r="H45" s="17">
        <v>5300</v>
      </c>
      <c r="I45" s="47">
        <v>0</v>
      </c>
      <c r="J45" s="18"/>
      <c r="K45" s="18"/>
      <c r="L45" s="18"/>
      <c r="M45" s="18"/>
      <c r="N45" s="18"/>
      <c r="O45" s="46">
        <f t="shared" si="0"/>
        <v>0</v>
      </c>
      <c r="P45" s="18"/>
    </row>
    <row r="46" spans="1:16" s="10" customFormat="1" ht="20.100000000000001" customHeight="1" x14ac:dyDescent="0.3">
      <c r="A46" s="106" t="s">
        <v>35</v>
      </c>
      <c r="B46" s="107"/>
      <c r="C46" s="107"/>
      <c r="D46" s="107"/>
      <c r="E46" s="107"/>
      <c r="F46" s="107"/>
      <c r="G46" s="107"/>
      <c r="H46" s="95"/>
      <c r="I46" s="48">
        <f>SUM(I22:I45)</f>
        <v>6840</v>
      </c>
      <c r="J46" s="19"/>
      <c r="K46" s="19"/>
      <c r="L46" s="19"/>
      <c r="M46" s="19"/>
      <c r="N46" s="19"/>
      <c r="O46" s="48">
        <f>SUM(O22:O45)</f>
        <v>36252000</v>
      </c>
      <c r="P46" s="18"/>
    </row>
    <row r="47" spans="1:16" s="10" customFormat="1" ht="20.100000000000001" customHeight="1" x14ac:dyDescent="0.3">
      <c r="A47" s="115" t="s">
        <v>94</v>
      </c>
      <c r="B47" s="63" t="s">
        <v>95</v>
      </c>
      <c r="C47" s="64" t="s">
        <v>96</v>
      </c>
      <c r="D47" s="64">
        <v>1650</v>
      </c>
      <c r="E47" s="64">
        <v>690</v>
      </c>
      <c r="F47" s="64">
        <v>760</v>
      </c>
      <c r="G47" s="64">
        <v>1380</v>
      </c>
      <c r="H47" s="65">
        <v>2100</v>
      </c>
      <c r="I47" s="47">
        <v>0</v>
      </c>
      <c r="J47" s="54"/>
      <c r="K47" s="54"/>
      <c r="L47" s="54"/>
      <c r="M47" s="54"/>
      <c r="N47" s="54"/>
      <c r="O47" s="46">
        <f t="shared" ref="O47:O58" si="1">SUM(I47*G47)</f>
        <v>0</v>
      </c>
      <c r="P47" s="54"/>
    </row>
    <row r="48" spans="1:16" s="10" customFormat="1" ht="20.100000000000001" customHeight="1" x14ac:dyDescent="0.3">
      <c r="A48" s="115"/>
      <c r="B48" s="63" t="s">
        <v>97</v>
      </c>
      <c r="C48" s="64" t="s">
        <v>98</v>
      </c>
      <c r="D48" s="64">
        <v>630</v>
      </c>
      <c r="E48" s="64">
        <v>297</v>
      </c>
      <c r="F48" s="64">
        <v>303</v>
      </c>
      <c r="G48" s="64">
        <v>594</v>
      </c>
      <c r="H48" s="65">
        <v>2100</v>
      </c>
      <c r="I48" s="47">
        <v>0</v>
      </c>
      <c r="J48" s="54"/>
      <c r="K48" s="54"/>
      <c r="L48" s="54"/>
      <c r="M48" s="54"/>
      <c r="N48" s="54"/>
      <c r="O48" s="46">
        <f t="shared" si="1"/>
        <v>0</v>
      </c>
      <c r="P48" s="54"/>
    </row>
    <row r="49" spans="1:16" s="10" customFormat="1" ht="20.100000000000001" customHeight="1" x14ac:dyDescent="0.3">
      <c r="A49" s="115"/>
      <c r="B49" s="15" t="s">
        <v>99</v>
      </c>
      <c r="C49" s="16" t="s">
        <v>100</v>
      </c>
      <c r="D49" s="16">
        <v>460</v>
      </c>
      <c r="E49" s="16">
        <v>230</v>
      </c>
      <c r="F49" s="16">
        <v>273</v>
      </c>
      <c r="G49" s="16">
        <v>460</v>
      </c>
      <c r="H49" s="17">
        <v>2100</v>
      </c>
      <c r="I49" s="47">
        <v>0</v>
      </c>
      <c r="J49" s="18"/>
      <c r="K49" s="18"/>
      <c r="L49" s="18"/>
      <c r="M49" s="18"/>
      <c r="N49" s="18"/>
      <c r="O49" s="46">
        <f t="shared" si="1"/>
        <v>0</v>
      </c>
      <c r="P49" s="18"/>
    </row>
    <row r="50" spans="1:16" s="10" customFormat="1" ht="20.100000000000001" customHeight="1" x14ac:dyDescent="0.3">
      <c r="A50" s="115"/>
      <c r="B50" s="15" t="s">
        <v>101</v>
      </c>
      <c r="C50" s="16" t="s">
        <v>102</v>
      </c>
      <c r="D50" s="16">
        <v>891</v>
      </c>
      <c r="E50" s="16">
        <v>42</v>
      </c>
      <c r="F50" s="16">
        <v>37</v>
      </c>
      <c r="G50" s="16">
        <v>84</v>
      </c>
      <c r="H50" s="17">
        <v>2100</v>
      </c>
      <c r="I50" s="47">
        <v>0</v>
      </c>
      <c r="J50" s="18"/>
      <c r="K50" s="18"/>
      <c r="L50" s="18"/>
      <c r="M50" s="18"/>
      <c r="N50" s="18"/>
      <c r="O50" s="46">
        <f t="shared" si="1"/>
        <v>0</v>
      </c>
      <c r="P50" s="18"/>
    </row>
    <row r="51" spans="1:16" s="10" customFormat="1" ht="20.100000000000001" customHeight="1" x14ac:dyDescent="0.3">
      <c r="A51" s="115"/>
      <c r="B51" s="15" t="s">
        <v>103</v>
      </c>
      <c r="C51" s="16" t="s">
        <v>104</v>
      </c>
      <c r="D51" s="16">
        <v>1120</v>
      </c>
      <c r="E51" s="16">
        <v>32</v>
      </c>
      <c r="F51" s="16">
        <v>40</v>
      </c>
      <c r="G51" s="16">
        <v>64</v>
      </c>
      <c r="H51" s="17">
        <v>2100</v>
      </c>
      <c r="I51" s="47">
        <v>0</v>
      </c>
      <c r="J51" s="18"/>
      <c r="K51" s="18"/>
      <c r="L51" s="18"/>
      <c r="M51" s="18"/>
      <c r="N51" s="18"/>
      <c r="O51" s="46">
        <f t="shared" si="1"/>
        <v>0</v>
      </c>
      <c r="P51" s="18"/>
    </row>
    <row r="52" spans="1:16" s="10" customFormat="1" ht="20.100000000000001" customHeight="1" x14ac:dyDescent="0.3">
      <c r="A52" s="115"/>
      <c r="B52" s="15" t="s">
        <v>105</v>
      </c>
      <c r="C52" s="16" t="s">
        <v>106</v>
      </c>
      <c r="D52" s="16">
        <v>600</v>
      </c>
      <c r="E52" s="16">
        <v>7</v>
      </c>
      <c r="F52" s="16">
        <v>13</v>
      </c>
      <c r="G52" s="16">
        <v>14</v>
      </c>
      <c r="H52" s="17">
        <v>2100</v>
      </c>
      <c r="I52" s="47">
        <v>0</v>
      </c>
      <c r="J52" s="18"/>
      <c r="K52" s="18"/>
      <c r="L52" s="18"/>
      <c r="M52" s="18"/>
      <c r="N52" s="18"/>
      <c r="O52" s="46">
        <f t="shared" si="1"/>
        <v>0</v>
      </c>
      <c r="P52" s="18"/>
    </row>
    <row r="53" spans="1:16" s="10" customFormat="1" ht="20.100000000000001" customHeight="1" x14ac:dyDescent="0.3">
      <c r="A53" s="115" t="s">
        <v>107</v>
      </c>
      <c r="B53" s="15" t="s">
        <v>108</v>
      </c>
      <c r="C53" s="16" t="s">
        <v>109</v>
      </c>
      <c r="D53" s="16">
        <v>2624</v>
      </c>
      <c r="E53" s="16">
        <v>2932</v>
      </c>
      <c r="F53" s="16">
        <v>2753</v>
      </c>
      <c r="G53" s="16">
        <v>5864</v>
      </c>
      <c r="H53" s="17">
        <v>3300</v>
      </c>
      <c r="I53" s="47">
        <v>0</v>
      </c>
      <c r="J53" s="18"/>
      <c r="K53" s="18"/>
      <c r="L53" s="18"/>
      <c r="M53" s="18"/>
      <c r="N53" s="18"/>
      <c r="O53" s="46">
        <f t="shared" si="1"/>
        <v>0</v>
      </c>
      <c r="P53" s="18"/>
    </row>
    <row r="54" spans="1:16" s="10" customFormat="1" ht="20.100000000000001" customHeight="1" x14ac:dyDescent="0.3">
      <c r="A54" s="115"/>
      <c r="B54" s="15" t="s">
        <v>110</v>
      </c>
      <c r="C54" s="16" t="s">
        <v>111</v>
      </c>
      <c r="D54" s="16">
        <v>1717</v>
      </c>
      <c r="E54" s="16">
        <v>2969</v>
      </c>
      <c r="F54" s="16">
        <v>2803</v>
      </c>
      <c r="G54" s="16">
        <v>5938</v>
      </c>
      <c r="H54" s="17">
        <v>3300</v>
      </c>
      <c r="I54" s="47">
        <v>0</v>
      </c>
      <c r="J54" s="18"/>
      <c r="K54" s="18"/>
      <c r="L54" s="18"/>
      <c r="M54" s="18"/>
      <c r="N54" s="18"/>
      <c r="O54" s="46">
        <f t="shared" si="1"/>
        <v>0</v>
      </c>
      <c r="P54" s="18"/>
    </row>
    <row r="55" spans="1:16" s="10" customFormat="1" ht="20.100000000000001" customHeight="1" x14ac:dyDescent="0.3">
      <c r="A55" s="115"/>
      <c r="B55" s="15" t="s">
        <v>112</v>
      </c>
      <c r="C55" s="16" t="s">
        <v>113</v>
      </c>
      <c r="D55" s="16">
        <v>4450</v>
      </c>
      <c r="E55" s="16">
        <v>664</v>
      </c>
      <c r="F55" s="16">
        <v>630</v>
      </c>
      <c r="G55" s="16">
        <v>1328</v>
      </c>
      <c r="H55" s="17">
        <v>3300</v>
      </c>
      <c r="I55" s="47">
        <v>0</v>
      </c>
      <c r="J55" s="18"/>
      <c r="K55" s="18"/>
      <c r="L55" s="18"/>
      <c r="M55" s="18"/>
      <c r="N55" s="18"/>
      <c r="O55" s="46">
        <f t="shared" si="1"/>
        <v>0</v>
      </c>
      <c r="P55" s="18"/>
    </row>
    <row r="56" spans="1:16" s="10" customFormat="1" ht="20.100000000000001" customHeight="1" x14ac:dyDescent="0.3">
      <c r="A56" s="115"/>
      <c r="B56" s="15" t="s">
        <v>114</v>
      </c>
      <c r="C56" s="16" t="s">
        <v>115</v>
      </c>
      <c r="D56" s="16">
        <v>966</v>
      </c>
      <c r="E56" s="16">
        <v>336</v>
      </c>
      <c r="F56" s="16">
        <v>470</v>
      </c>
      <c r="G56" s="16">
        <v>672</v>
      </c>
      <c r="H56" s="17">
        <v>3300</v>
      </c>
      <c r="I56" s="47">
        <v>0</v>
      </c>
      <c r="J56" s="18"/>
      <c r="K56" s="18"/>
      <c r="L56" s="18"/>
      <c r="M56" s="18"/>
      <c r="N56" s="18"/>
      <c r="O56" s="46">
        <f t="shared" si="1"/>
        <v>0</v>
      </c>
      <c r="P56" s="18"/>
    </row>
    <row r="57" spans="1:16" s="10" customFormat="1" ht="20.100000000000001" customHeight="1" x14ac:dyDescent="0.3">
      <c r="A57" s="115"/>
      <c r="B57" s="15" t="s">
        <v>116</v>
      </c>
      <c r="C57" s="16" t="s">
        <v>117</v>
      </c>
      <c r="D57" s="16">
        <v>834</v>
      </c>
      <c r="E57" s="16">
        <v>351</v>
      </c>
      <c r="F57" s="16">
        <v>513</v>
      </c>
      <c r="G57" s="16">
        <v>702</v>
      </c>
      <c r="H57" s="17">
        <v>3300</v>
      </c>
      <c r="I57" s="47">
        <v>0</v>
      </c>
      <c r="J57" s="18"/>
      <c r="K57" s="18"/>
      <c r="L57" s="18"/>
      <c r="M57" s="18"/>
      <c r="N57" s="18"/>
      <c r="O57" s="46">
        <f t="shared" si="1"/>
        <v>0</v>
      </c>
      <c r="P57" s="18"/>
    </row>
    <row r="58" spans="1:16" s="10" customFormat="1" ht="20.100000000000001" customHeight="1" x14ac:dyDescent="0.3">
      <c r="A58" s="115"/>
      <c r="B58" s="15" t="s">
        <v>118</v>
      </c>
      <c r="C58" s="16" t="s">
        <v>119</v>
      </c>
      <c r="D58" s="16">
        <v>1470</v>
      </c>
      <c r="E58" s="16">
        <v>98</v>
      </c>
      <c r="F58" s="16">
        <v>213</v>
      </c>
      <c r="G58" s="16">
        <v>196</v>
      </c>
      <c r="H58" s="17">
        <v>3300</v>
      </c>
      <c r="I58" s="47">
        <v>0</v>
      </c>
      <c r="J58" s="18"/>
      <c r="K58" s="18"/>
      <c r="L58" s="18"/>
      <c r="M58" s="18"/>
      <c r="N58" s="18"/>
      <c r="O58" s="46">
        <f t="shared" si="1"/>
        <v>0</v>
      </c>
      <c r="P58" s="18"/>
    </row>
    <row r="59" spans="1:16" s="10" customFormat="1" ht="20.100000000000001" customHeight="1" x14ac:dyDescent="0.3">
      <c r="A59" s="106" t="s">
        <v>35</v>
      </c>
      <c r="B59" s="107"/>
      <c r="C59" s="107"/>
      <c r="D59" s="107"/>
      <c r="E59" s="107"/>
      <c r="F59" s="107"/>
      <c r="G59" s="107"/>
      <c r="H59" s="95"/>
      <c r="I59" s="48">
        <f>SUM(I47:I58)</f>
        <v>0</v>
      </c>
      <c r="J59" s="19"/>
      <c r="K59" s="19"/>
      <c r="L59" s="19"/>
      <c r="M59" s="19"/>
      <c r="N59" s="19"/>
      <c r="O59" s="48">
        <f>SUM(O47:O58)</f>
        <v>0</v>
      </c>
      <c r="P59" s="18"/>
    </row>
    <row r="60" spans="1:16" s="10" customFormat="1" ht="20.100000000000001" customHeight="1" x14ac:dyDescent="0.3">
      <c r="A60" s="105" t="s">
        <v>120</v>
      </c>
      <c r="B60" s="15" t="s">
        <v>121</v>
      </c>
      <c r="C60" s="16" t="s">
        <v>122</v>
      </c>
      <c r="D60" s="16">
        <v>8880</v>
      </c>
      <c r="E60" s="16">
        <v>3727</v>
      </c>
      <c r="F60" s="16">
        <v>3543</v>
      </c>
      <c r="G60" s="16">
        <v>7454</v>
      </c>
      <c r="H60" s="17">
        <v>2000</v>
      </c>
      <c r="I60" s="47">
        <v>2400</v>
      </c>
      <c r="J60" s="18"/>
      <c r="K60" s="18"/>
      <c r="L60" s="18"/>
      <c r="M60" s="18"/>
      <c r="N60" s="18"/>
      <c r="O60" s="46">
        <f t="shared" ref="O60:O123" si="2">SUM(I60*H60)</f>
        <v>4800000</v>
      </c>
      <c r="P60" s="18"/>
    </row>
    <row r="61" spans="1:16" s="10" customFormat="1" ht="20.100000000000001" customHeight="1" x14ac:dyDescent="0.3">
      <c r="A61" s="105"/>
      <c r="B61" s="15" t="s">
        <v>123</v>
      </c>
      <c r="C61" s="16" t="s">
        <v>124</v>
      </c>
      <c r="D61" s="16">
        <v>2699</v>
      </c>
      <c r="E61" s="16">
        <v>773</v>
      </c>
      <c r="F61" s="16">
        <v>910</v>
      </c>
      <c r="G61" s="16">
        <v>1546</v>
      </c>
      <c r="H61" s="17">
        <v>2000</v>
      </c>
      <c r="I61" s="47">
        <v>1200</v>
      </c>
      <c r="J61" s="18"/>
      <c r="K61" s="18"/>
      <c r="L61" s="18"/>
      <c r="M61" s="18"/>
      <c r="N61" s="18"/>
      <c r="O61" s="46">
        <f t="shared" si="2"/>
        <v>2400000</v>
      </c>
      <c r="P61" s="18"/>
    </row>
    <row r="62" spans="1:16" s="10" customFormat="1" ht="20.100000000000001" customHeight="1" x14ac:dyDescent="0.3">
      <c r="A62" s="105"/>
      <c r="B62" s="15" t="s">
        <v>125</v>
      </c>
      <c r="C62" s="16" t="s">
        <v>126</v>
      </c>
      <c r="D62" s="16">
        <v>1572</v>
      </c>
      <c r="E62" s="16">
        <v>601</v>
      </c>
      <c r="F62" s="16">
        <v>838</v>
      </c>
      <c r="G62" s="16">
        <v>1202</v>
      </c>
      <c r="H62" s="17">
        <v>2000</v>
      </c>
      <c r="I62" s="47">
        <v>1200</v>
      </c>
      <c r="J62" s="18"/>
      <c r="K62" s="18"/>
      <c r="L62" s="18"/>
      <c r="M62" s="18"/>
      <c r="N62" s="18"/>
      <c r="O62" s="46">
        <f t="shared" si="2"/>
        <v>2400000</v>
      </c>
      <c r="P62" s="18"/>
    </row>
    <row r="63" spans="1:16" s="10" customFormat="1" ht="20.100000000000001" customHeight="1" x14ac:dyDescent="0.3">
      <c r="A63" s="105"/>
      <c r="B63" s="15" t="s">
        <v>127</v>
      </c>
      <c r="C63" s="16" t="s">
        <v>128</v>
      </c>
      <c r="D63" s="16">
        <v>13018</v>
      </c>
      <c r="E63" s="16">
        <v>1935</v>
      </c>
      <c r="F63" s="16">
        <v>1937</v>
      </c>
      <c r="G63" s="16">
        <v>3870</v>
      </c>
      <c r="H63" s="17">
        <v>2000</v>
      </c>
      <c r="I63" s="47">
        <v>1200</v>
      </c>
      <c r="J63" s="18"/>
      <c r="K63" s="18"/>
      <c r="L63" s="18"/>
      <c r="M63" s="18"/>
      <c r="N63" s="18"/>
      <c r="O63" s="46">
        <f t="shared" si="2"/>
        <v>2400000</v>
      </c>
      <c r="P63" s="18"/>
    </row>
    <row r="64" spans="1:16" s="10" customFormat="1" ht="20.100000000000001" customHeight="1" x14ac:dyDescent="0.3">
      <c r="A64" s="106" t="s">
        <v>35</v>
      </c>
      <c r="B64" s="107"/>
      <c r="C64" s="107"/>
      <c r="D64" s="107"/>
      <c r="E64" s="107"/>
      <c r="F64" s="107"/>
      <c r="G64" s="107"/>
      <c r="H64" s="95"/>
      <c r="I64" s="48">
        <f>SUM(I60:I63)</f>
        <v>6000</v>
      </c>
      <c r="J64" s="19"/>
      <c r="K64" s="19"/>
      <c r="L64" s="19"/>
      <c r="M64" s="19"/>
      <c r="N64" s="19"/>
      <c r="O64" s="48">
        <f>SUM(O60:O63)</f>
        <v>12000000</v>
      </c>
      <c r="P64" s="18"/>
    </row>
    <row r="65" spans="1:16" s="10" customFormat="1" ht="20.100000000000001" customHeight="1" x14ac:dyDescent="0.3">
      <c r="A65" s="105" t="s">
        <v>129</v>
      </c>
      <c r="B65" s="15" t="s">
        <v>130</v>
      </c>
      <c r="C65" s="16" t="s">
        <v>131</v>
      </c>
      <c r="D65" s="16">
        <v>15995</v>
      </c>
      <c r="E65" s="16">
        <v>9912</v>
      </c>
      <c r="F65" s="16">
        <v>8417</v>
      </c>
      <c r="G65" s="16">
        <v>19824</v>
      </c>
      <c r="H65" s="17">
        <v>2100</v>
      </c>
      <c r="I65" s="47">
        <v>9600</v>
      </c>
      <c r="J65" s="18"/>
      <c r="K65" s="18"/>
      <c r="L65" s="18"/>
      <c r="M65" s="18"/>
      <c r="N65" s="18"/>
      <c r="O65" s="46">
        <f t="shared" si="2"/>
        <v>20160000</v>
      </c>
      <c r="P65" s="18"/>
    </row>
    <row r="66" spans="1:16" s="10" customFormat="1" ht="20.100000000000001" customHeight="1" x14ac:dyDescent="0.3">
      <c r="A66" s="105"/>
      <c r="B66" s="15" t="s">
        <v>132</v>
      </c>
      <c r="C66" s="16" t="s">
        <v>133</v>
      </c>
      <c r="D66" s="16">
        <v>4507</v>
      </c>
      <c r="E66" s="16">
        <v>3493</v>
      </c>
      <c r="F66" s="16">
        <v>2707</v>
      </c>
      <c r="G66" s="16">
        <v>6986</v>
      </c>
      <c r="H66" s="17">
        <v>2100</v>
      </c>
      <c r="I66" s="47">
        <v>840</v>
      </c>
      <c r="J66" s="18"/>
      <c r="K66" s="18"/>
      <c r="L66" s="18"/>
      <c r="M66" s="18"/>
      <c r="N66" s="18"/>
      <c r="O66" s="46">
        <f t="shared" si="2"/>
        <v>1764000</v>
      </c>
      <c r="P66" s="18"/>
    </row>
    <row r="67" spans="1:16" s="10" customFormat="1" ht="20.100000000000001" customHeight="1" x14ac:dyDescent="0.3">
      <c r="A67" s="105"/>
      <c r="B67" s="15" t="s">
        <v>134</v>
      </c>
      <c r="C67" s="16" t="s">
        <v>135</v>
      </c>
      <c r="D67" s="16">
        <v>1751</v>
      </c>
      <c r="E67" s="16">
        <v>1012</v>
      </c>
      <c r="F67" s="16">
        <v>1035</v>
      </c>
      <c r="G67" s="16">
        <v>2024</v>
      </c>
      <c r="H67" s="17">
        <v>3500</v>
      </c>
      <c r="I67" s="47">
        <v>1200</v>
      </c>
      <c r="J67" s="18"/>
      <c r="K67" s="18"/>
      <c r="L67" s="18"/>
      <c r="M67" s="18"/>
      <c r="N67" s="18"/>
      <c r="O67" s="46">
        <f t="shared" si="2"/>
        <v>4200000</v>
      </c>
      <c r="P67" s="18"/>
    </row>
    <row r="68" spans="1:16" s="10" customFormat="1" ht="20.100000000000001" customHeight="1" x14ac:dyDescent="0.3">
      <c r="A68" s="105"/>
      <c r="B68" s="15" t="s">
        <v>136</v>
      </c>
      <c r="C68" s="16" t="s">
        <v>137</v>
      </c>
      <c r="D68" s="16">
        <v>1820</v>
      </c>
      <c r="E68" s="16">
        <v>901</v>
      </c>
      <c r="F68" s="16">
        <v>779</v>
      </c>
      <c r="G68" s="16">
        <v>1802</v>
      </c>
      <c r="H68" s="17">
        <v>2100</v>
      </c>
      <c r="I68" s="47">
        <v>1200</v>
      </c>
      <c r="J68" s="18"/>
      <c r="K68" s="18"/>
      <c r="L68" s="18"/>
      <c r="M68" s="18"/>
      <c r="N68" s="18"/>
      <c r="O68" s="46">
        <f t="shared" si="2"/>
        <v>2520000</v>
      </c>
      <c r="P68" s="18"/>
    </row>
    <row r="69" spans="1:16" s="10" customFormat="1" ht="20.100000000000001" customHeight="1" x14ac:dyDescent="0.3">
      <c r="A69" s="105"/>
      <c r="B69" s="15" t="s">
        <v>138</v>
      </c>
      <c r="C69" s="16" t="s">
        <v>139</v>
      </c>
      <c r="D69" s="16">
        <v>1003</v>
      </c>
      <c r="E69" s="16">
        <v>134</v>
      </c>
      <c r="F69" s="16">
        <v>120</v>
      </c>
      <c r="G69" s="16">
        <v>268</v>
      </c>
      <c r="H69" s="17">
        <v>2100</v>
      </c>
      <c r="I69" s="47">
        <v>600</v>
      </c>
      <c r="J69" s="18"/>
      <c r="K69" s="18"/>
      <c r="L69" s="18"/>
      <c r="M69" s="18"/>
      <c r="N69" s="18"/>
      <c r="O69" s="46">
        <f t="shared" si="2"/>
        <v>1260000</v>
      </c>
      <c r="P69" s="18"/>
    </row>
    <row r="70" spans="1:16" s="10" customFormat="1" ht="20.100000000000001" customHeight="1" x14ac:dyDescent="0.3">
      <c r="A70" s="105"/>
      <c r="B70" s="15" t="s">
        <v>140</v>
      </c>
      <c r="C70" s="16" t="s">
        <v>141</v>
      </c>
      <c r="D70" s="16">
        <v>4032</v>
      </c>
      <c r="E70" s="16">
        <v>1043</v>
      </c>
      <c r="F70" s="16">
        <v>1167</v>
      </c>
      <c r="G70" s="16">
        <v>2086</v>
      </c>
      <c r="H70" s="17">
        <v>2100</v>
      </c>
      <c r="I70" s="47">
        <v>0</v>
      </c>
      <c r="J70" s="18"/>
      <c r="K70" s="18"/>
      <c r="L70" s="18"/>
      <c r="M70" s="18"/>
      <c r="N70" s="18"/>
      <c r="O70" s="46">
        <f t="shared" si="2"/>
        <v>0</v>
      </c>
      <c r="P70" s="18"/>
    </row>
    <row r="71" spans="1:16" s="10" customFormat="1" ht="20.100000000000001" customHeight="1" x14ac:dyDescent="0.3">
      <c r="A71" s="105"/>
      <c r="B71" s="15" t="s">
        <v>142</v>
      </c>
      <c r="C71" s="16" t="s">
        <v>143</v>
      </c>
      <c r="D71" s="16">
        <v>130</v>
      </c>
      <c r="E71" s="16">
        <v>129</v>
      </c>
      <c r="F71" s="16">
        <v>180</v>
      </c>
      <c r="G71" s="16">
        <v>258</v>
      </c>
      <c r="H71" s="17">
        <v>2100</v>
      </c>
      <c r="I71" s="47">
        <v>1200</v>
      </c>
      <c r="J71" s="18"/>
      <c r="K71" s="18"/>
      <c r="L71" s="18"/>
      <c r="M71" s="18"/>
      <c r="N71" s="18"/>
      <c r="O71" s="46">
        <f t="shared" si="2"/>
        <v>2520000</v>
      </c>
      <c r="P71" s="18"/>
    </row>
    <row r="72" spans="1:16" s="10" customFormat="1" ht="20.100000000000001" customHeight="1" x14ac:dyDescent="0.3">
      <c r="A72" s="105"/>
      <c r="B72" s="15" t="s">
        <v>144</v>
      </c>
      <c r="C72" s="16" t="s">
        <v>145</v>
      </c>
      <c r="D72" s="16">
        <v>11</v>
      </c>
      <c r="E72" s="16">
        <v>144</v>
      </c>
      <c r="F72" s="16">
        <v>248</v>
      </c>
      <c r="G72" s="16">
        <v>288</v>
      </c>
      <c r="H72" s="17">
        <v>3500</v>
      </c>
      <c r="I72" s="47">
        <v>600</v>
      </c>
      <c r="J72" s="18"/>
      <c r="K72" s="18"/>
      <c r="L72" s="18"/>
      <c r="M72" s="18"/>
      <c r="N72" s="18"/>
      <c r="O72" s="46">
        <f t="shared" si="2"/>
        <v>2100000</v>
      </c>
      <c r="P72" s="18"/>
    </row>
    <row r="73" spans="1:16" s="10" customFormat="1" ht="20.100000000000001" customHeight="1" x14ac:dyDescent="0.3">
      <c r="A73" s="105"/>
      <c r="B73" s="15" t="s">
        <v>146</v>
      </c>
      <c r="C73" s="16" t="s">
        <v>147</v>
      </c>
      <c r="D73" s="16">
        <v>378</v>
      </c>
      <c r="E73" s="16">
        <v>188</v>
      </c>
      <c r="F73" s="16">
        <v>336</v>
      </c>
      <c r="G73" s="16">
        <v>376</v>
      </c>
      <c r="H73" s="17">
        <v>3500</v>
      </c>
      <c r="I73" s="47">
        <v>450</v>
      </c>
      <c r="J73" s="18"/>
      <c r="K73" s="18"/>
      <c r="L73" s="18"/>
      <c r="M73" s="18"/>
      <c r="N73" s="18"/>
      <c r="O73" s="46">
        <f t="shared" si="2"/>
        <v>1575000</v>
      </c>
      <c r="P73" s="18"/>
    </row>
    <row r="74" spans="1:16" s="10" customFormat="1" ht="20.100000000000001" customHeight="1" x14ac:dyDescent="0.3">
      <c r="A74" s="105"/>
      <c r="B74" s="15" t="s">
        <v>148</v>
      </c>
      <c r="C74" s="16" t="s">
        <v>149</v>
      </c>
      <c r="D74" s="16">
        <v>182</v>
      </c>
      <c r="E74" s="16">
        <v>4</v>
      </c>
      <c r="F74" s="16">
        <v>6</v>
      </c>
      <c r="G74" s="16">
        <v>6</v>
      </c>
      <c r="H74" s="17">
        <v>3500</v>
      </c>
      <c r="I74" s="47">
        <v>0</v>
      </c>
      <c r="J74" s="18"/>
      <c r="K74" s="18"/>
      <c r="L74" s="18"/>
      <c r="M74" s="18"/>
      <c r="N74" s="18"/>
      <c r="O74" s="46">
        <f t="shared" si="2"/>
        <v>0</v>
      </c>
      <c r="P74" s="18"/>
    </row>
    <row r="75" spans="1:16" s="10" customFormat="1" ht="20.100000000000001" customHeight="1" x14ac:dyDescent="0.3">
      <c r="A75" s="106" t="s">
        <v>35</v>
      </c>
      <c r="B75" s="107"/>
      <c r="C75" s="107"/>
      <c r="D75" s="107"/>
      <c r="E75" s="107"/>
      <c r="F75" s="107"/>
      <c r="G75" s="107"/>
      <c r="H75" s="95"/>
      <c r="I75" s="48">
        <f>SUM(I65:I74)</f>
        <v>15690</v>
      </c>
      <c r="J75" s="19"/>
      <c r="K75" s="19"/>
      <c r="L75" s="19"/>
      <c r="M75" s="19"/>
      <c r="N75" s="19"/>
      <c r="O75" s="48">
        <f>SUM(O65:O74)</f>
        <v>36099000</v>
      </c>
      <c r="P75" s="18"/>
    </row>
    <row r="76" spans="1:16" s="10" customFormat="1" ht="20.100000000000001" customHeight="1" x14ac:dyDescent="0.3">
      <c r="A76" s="105" t="s">
        <v>150</v>
      </c>
      <c r="B76" s="20" t="s">
        <v>151</v>
      </c>
      <c r="C76" s="16" t="s">
        <v>152</v>
      </c>
      <c r="D76" s="16">
        <v>3414</v>
      </c>
      <c r="E76" s="16">
        <v>1596</v>
      </c>
      <c r="F76" s="16">
        <v>1488</v>
      </c>
      <c r="G76" s="16">
        <v>3192</v>
      </c>
      <c r="H76" s="17">
        <v>3200</v>
      </c>
      <c r="I76" s="47">
        <v>1200</v>
      </c>
      <c r="J76" s="18"/>
      <c r="K76" s="18"/>
      <c r="L76" s="18"/>
      <c r="M76" s="18"/>
      <c r="N76" s="18"/>
      <c r="O76" s="46">
        <f t="shared" si="2"/>
        <v>3840000</v>
      </c>
      <c r="P76" s="18"/>
    </row>
    <row r="77" spans="1:16" s="10" customFormat="1" ht="20.100000000000001" customHeight="1" x14ac:dyDescent="0.3">
      <c r="A77" s="105"/>
      <c r="B77" s="20" t="s">
        <v>153</v>
      </c>
      <c r="C77" s="16" t="s">
        <v>154</v>
      </c>
      <c r="D77" s="16">
        <v>2305</v>
      </c>
      <c r="E77" s="16">
        <v>377</v>
      </c>
      <c r="F77" s="16">
        <v>337</v>
      </c>
      <c r="G77" s="16">
        <v>754</v>
      </c>
      <c r="H77" s="17">
        <v>3200</v>
      </c>
      <c r="I77" s="47">
        <v>600</v>
      </c>
      <c r="J77" s="18"/>
      <c r="K77" s="18"/>
      <c r="L77" s="18"/>
      <c r="M77" s="18"/>
      <c r="N77" s="18"/>
      <c r="O77" s="46">
        <f t="shared" si="2"/>
        <v>1920000</v>
      </c>
      <c r="P77" s="18"/>
    </row>
    <row r="78" spans="1:16" s="10" customFormat="1" ht="20.100000000000001" customHeight="1" x14ac:dyDescent="0.3">
      <c r="A78" s="106" t="s">
        <v>35</v>
      </c>
      <c r="B78" s="107"/>
      <c r="C78" s="107"/>
      <c r="D78" s="107"/>
      <c r="E78" s="107"/>
      <c r="F78" s="107"/>
      <c r="G78" s="107"/>
      <c r="H78" s="95"/>
      <c r="I78" s="48">
        <f>SUM(I76:I77)</f>
        <v>1800</v>
      </c>
      <c r="J78" s="19"/>
      <c r="K78" s="19"/>
      <c r="L78" s="19"/>
      <c r="M78" s="19"/>
      <c r="N78" s="19"/>
      <c r="O78" s="48">
        <f>SUM(O76:O77)</f>
        <v>5760000</v>
      </c>
      <c r="P78" s="18"/>
    </row>
    <row r="79" spans="1:16" s="10" customFormat="1" ht="20.100000000000001" customHeight="1" x14ac:dyDescent="0.3">
      <c r="A79" s="105"/>
      <c r="B79" s="15" t="s">
        <v>155</v>
      </c>
      <c r="C79" s="16" t="s">
        <v>156</v>
      </c>
      <c r="D79" s="16">
        <v>451</v>
      </c>
      <c r="E79" s="16">
        <v>407</v>
      </c>
      <c r="F79" s="16">
        <v>276</v>
      </c>
      <c r="G79" s="16">
        <v>814</v>
      </c>
      <c r="H79" s="17">
        <v>6600</v>
      </c>
      <c r="I79" s="47">
        <v>300</v>
      </c>
      <c r="J79" s="18"/>
      <c r="K79" s="18"/>
      <c r="L79" s="18"/>
      <c r="M79" s="18"/>
      <c r="N79" s="18"/>
      <c r="O79" s="46">
        <f t="shared" si="2"/>
        <v>1980000</v>
      </c>
      <c r="P79" s="18"/>
    </row>
    <row r="80" spans="1:16" s="10" customFormat="1" ht="20.100000000000001" customHeight="1" x14ac:dyDescent="0.3">
      <c r="A80" s="105"/>
      <c r="B80" s="15" t="s">
        <v>157</v>
      </c>
      <c r="C80" s="16" t="s">
        <v>158</v>
      </c>
      <c r="D80" s="16">
        <v>1190</v>
      </c>
      <c r="E80" s="16">
        <v>2825</v>
      </c>
      <c r="F80" s="16">
        <v>2684</v>
      </c>
      <c r="G80" s="16">
        <v>5650</v>
      </c>
      <c r="H80" s="17">
        <v>8400</v>
      </c>
      <c r="I80" s="47">
        <v>9000</v>
      </c>
      <c r="J80" s="18"/>
      <c r="K80" s="18"/>
      <c r="L80" s="18"/>
      <c r="M80" s="18"/>
      <c r="N80" s="18"/>
      <c r="O80" s="46">
        <f t="shared" si="2"/>
        <v>75600000</v>
      </c>
      <c r="P80" s="18"/>
    </row>
    <row r="81" spans="1:16" s="10" customFormat="1" ht="20.100000000000001" customHeight="1" x14ac:dyDescent="0.3">
      <c r="A81" s="105"/>
      <c r="B81" s="15" t="s">
        <v>159</v>
      </c>
      <c r="C81" s="16" t="s">
        <v>160</v>
      </c>
      <c r="D81" s="16">
        <v>471</v>
      </c>
      <c r="E81" s="16">
        <v>344</v>
      </c>
      <c r="F81" s="16">
        <v>269</v>
      </c>
      <c r="G81" s="16">
        <v>688</v>
      </c>
      <c r="H81" s="17">
        <v>3600</v>
      </c>
      <c r="I81" s="47">
        <v>0</v>
      </c>
      <c r="J81" s="18"/>
      <c r="K81" s="18"/>
      <c r="L81" s="18"/>
      <c r="M81" s="18"/>
      <c r="N81" s="18"/>
      <c r="O81" s="46">
        <f t="shared" si="2"/>
        <v>0</v>
      </c>
      <c r="P81" s="18"/>
    </row>
    <row r="82" spans="1:16" s="10" customFormat="1" ht="20.100000000000001" customHeight="1" x14ac:dyDescent="0.3">
      <c r="A82" s="105"/>
      <c r="B82" s="15" t="s">
        <v>161</v>
      </c>
      <c r="C82" s="16" t="s">
        <v>162</v>
      </c>
      <c r="D82" s="16">
        <v>43</v>
      </c>
      <c r="E82" s="16">
        <v>2484</v>
      </c>
      <c r="F82" s="16">
        <v>2791</v>
      </c>
      <c r="G82" s="16">
        <v>4968</v>
      </c>
      <c r="H82" s="17">
        <v>4800</v>
      </c>
      <c r="I82" s="47">
        <v>4000</v>
      </c>
      <c r="J82" s="18"/>
      <c r="K82" s="18"/>
      <c r="L82" s="18"/>
      <c r="M82" s="18"/>
      <c r="N82" s="18"/>
      <c r="O82" s="46">
        <f t="shared" si="2"/>
        <v>19200000</v>
      </c>
      <c r="P82" s="18"/>
    </row>
    <row r="83" spans="1:16" s="10" customFormat="1" ht="20.100000000000001" customHeight="1" x14ac:dyDescent="0.3">
      <c r="A83" s="105"/>
      <c r="B83" s="15" t="s">
        <v>163</v>
      </c>
      <c r="C83" s="16" t="s">
        <v>164</v>
      </c>
      <c r="D83" s="16">
        <v>549</v>
      </c>
      <c r="E83" s="16">
        <v>420</v>
      </c>
      <c r="F83" s="16">
        <v>359</v>
      </c>
      <c r="G83" s="16">
        <v>840</v>
      </c>
      <c r="H83" s="17">
        <v>6600</v>
      </c>
      <c r="I83" s="47">
        <v>300</v>
      </c>
      <c r="J83" s="18"/>
      <c r="K83" s="18"/>
      <c r="L83" s="18"/>
      <c r="M83" s="18"/>
      <c r="N83" s="18"/>
      <c r="O83" s="46">
        <f t="shared" si="2"/>
        <v>1980000</v>
      </c>
      <c r="P83" s="18"/>
    </row>
    <row r="84" spans="1:16" s="10" customFormat="1" ht="20.100000000000001" customHeight="1" x14ac:dyDescent="0.3">
      <c r="A84" s="105"/>
      <c r="B84" s="20" t="s">
        <v>165</v>
      </c>
      <c r="C84" s="16" t="s">
        <v>166</v>
      </c>
      <c r="D84" s="16">
        <v>617</v>
      </c>
      <c r="E84" s="16">
        <v>1582</v>
      </c>
      <c r="F84" s="16">
        <v>1434</v>
      </c>
      <c r="G84" s="16">
        <v>3164</v>
      </c>
      <c r="H84" s="17">
        <v>8400</v>
      </c>
      <c r="I84" s="47">
        <v>4000</v>
      </c>
      <c r="J84" s="18"/>
      <c r="K84" s="18"/>
      <c r="L84" s="18"/>
      <c r="M84" s="18"/>
      <c r="N84" s="18"/>
      <c r="O84" s="46">
        <f t="shared" si="2"/>
        <v>33600000</v>
      </c>
      <c r="P84" s="18"/>
    </row>
    <row r="85" spans="1:16" s="10" customFormat="1" ht="20.100000000000001" customHeight="1" x14ac:dyDescent="0.3">
      <c r="A85" s="105"/>
      <c r="B85" s="20" t="s">
        <v>167</v>
      </c>
      <c r="C85" s="16" t="s">
        <v>168</v>
      </c>
      <c r="D85" s="16">
        <v>458</v>
      </c>
      <c r="E85" s="16">
        <v>387</v>
      </c>
      <c r="F85" s="16">
        <v>377</v>
      </c>
      <c r="G85" s="16">
        <v>774</v>
      </c>
      <c r="H85" s="17">
        <v>3600</v>
      </c>
      <c r="I85" s="47">
        <v>150</v>
      </c>
      <c r="J85" s="18"/>
      <c r="K85" s="18"/>
      <c r="L85" s="18"/>
      <c r="M85" s="18"/>
      <c r="N85" s="18"/>
      <c r="O85" s="46">
        <f t="shared" si="2"/>
        <v>540000</v>
      </c>
      <c r="P85" s="18"/>
    </row>
    <row r="86" spans="1:16" s="10" customFormat="1" ht="20.100000000000001" customHeight="1" x14ac:dyDescent="0.3">
      <c r="A86" s="105"/>
      <c r="B86" s="20" t="s">
        <v>169</v>
      </c>
      <c r="C86" s="16" t="s">
        <v>170</v>
      </c>
      <c r="D86" s="16">
        <v>80</v>
      </c>
      <c r="E86" s="16">
        <v>1522</v>
      </c>
      <c r="F86" s="16">
        <v>1415</v>
      </c>
      <c r="G86" s="16">
        <v>3044</v>
      </c>
      <c r="H86" s="17">
        <v>4800</v>
      </c>
      <c r="I86" s="47">
        <v>2000</v>
      </c>
      <c r="J86" s="18"/>
      <c r="K86" s="18"/>
      <c r="L86" s="18"/>
      <c r="M86" s="18"/>
      <c r="N86" s="18"/>
      <c r="O86" s="46">
        <f t="shared" si="2"/>
        <v>9600000</v>
      </c>
      <c r="P86" s="18"/>
    </row>
    <row r="87" spans="1:16" s="10" customFormat="1" ht="20.100000000000001" customHeight="1" x14ac:dyDescent="0.3">
      <c r="A87" s="106" t="s">
        <v>35</v>
      </c>
      <c r="B87" s="107"/>
      <c r="C87" s="107"/>
      <c r="D87" s="107"/>
      <c r="E87" s="107"/>
      <c r="F87" s="107"/>
      <c r="G87" s="107"/>
      <c r="H87" s="95"/>
      <c r="I87" s="48">
        <f>SUM(I79:I86)</f>
        <v>19750</v>
      </c>
      <c r="J87" s="19"/>
      <c r="K87" s="19"/>
      <c r="L87" s="19"/>
      <c r="M87" s="19"/>
      <c r="N87" s="19"/>
      <c r="O87" s="48">
        <f>SUM(O79:O86)</f>
        <v>142500000</v>
      </c>
      <c r="P87" s="18"/>
    </row>
    <row r="88" spans="1:16" s="10" customFormat="1" ht="20.100000000000001" customHeight="1" x14ac:dyDescent="0.3">
      <c r="A88" s="105" t="s">
        <v>171</v>
      </c>
      <c r="B88" s="15" t="s">
        <v>172</v>
      </c>
      <c r="C88" s="16" t="s">
        <v>173</v>
      </c>
      <c r="D88" s="16">
        <v>780</v>
      </c>
      <c r="E88" s="16">
        <v>770</v>
      </c>
      <c r="F88" s="16">
        <v>1007</v>
      </c>
      <c r="G88" s="16">
        <v>1540</v>
      </c>
      <c r="H88" s="17">
        <v>2700</v>
      </c>
      <c r="I88" s="47">
        <v>1500</v>
      </c>
      <c r="J88" s="18"/>
      <c r="K88" s="18"/>
      <c r="L88" s="18"/>
      <c r="M88" s="18"/>
      <c r="N88" s="18"/>
      <c r="O88" s="46">
        <f t="shared" si="2"/>
        <v>4050000</v>
      </c>
      <c r="P88" s="54"/>
    </row>
    <row r="89" spans="1:16" s="10" customFormat="1" ht="20.100000000000001" customHeight="1" x14ac:dyDescent="0.3">
      <c r="A89" s="105"/>
      <c r="B89" s="15" t="s">
        <v>174</v>
      </c>
      <c r="C89" s="16" t="s">
        <v>175</v>
      </c>
      <c r="D89" s="16">
        <v>1434</v>
      </c>
      <c r="E89" s="16">
        <v>311</v>
      </c>
      <c r="F89" s="16">
        <v>300</v>
      </c>
      <c r="G89" s="16">
        <v>622</v>
      </c>
      <c r="H89" s="17">
        <v>3400</v>
      </c>
      <c r="I89" s="47">
        <v>500</v>
      </c>
      <c r="J89" s="18"/>
      <c r="K89" s="18"/>
      <c r="L89" s="18"/>
      <c r="M89" s="18"/>
      <c r="N89" s="18"/>
      <c r="O89" s="46">
        <f t="shared" si="2"/>
        <v>1700000</v>
      </c>
      <c r="P89" s="54"/>
    </row>
    <row r="90" spans="1:16" s="10" customFormat="1" ht="20.100000000000001" customHeight="1" x14ac:dyDescent="0.3">
      <c r="A90" s="105"/>
      <c r="B90" s="15" t="s">
        <v>176</v>
      </c>
      <c r="C90" s="16" t="s">
        <v>177</v>
      </c>
      <c r="D90" s="16">
        <v>297</v>
      </c>
      <c r="E90" s="16">
        <v>1468</v>
      </c>
      <c r="F90" s="16">
        <v>1668</v>
      </c>
      <c r="G90" s="16">
        <v>2936</v>
      </c>
      <c r="H90" s="17">
        <v>4200</v>
      </c>
      <c r="I90" s="47">
        <v>2000</v>
      </c>
      <c r="J90" s="18"/>
      <c r="K90" s="18"/>
      <c r="L90" s="18"/>
      <c r="M90" s="18"/>
      <c r="N90" s="18"/>
      <c r="O90" s="46">
        <f t="shared" si="2"/>
        <v>8400000</v>
      </c>
      <c r="P90" s="54"/>
    </row>
    <row r="91" spans="1:16" s="10" customFormat="1" ht="20.100000000000001" customHeight="1" x14ac:dyDescent="0.3">
      <c r="A91" s="105"/>
      <c r="B91" s="20" t="s">
        <v>178</v>
      </c>
      <c r="C91" s="16" t="s">
        <v>179</v>
      </c>
      <c r="D91" s="16">
        <v>201</v>
      </c>
      <c r="E91" s="16">
        <v>117</v>
      </c>
      <c r="F91" s="16">
        <v>169</v>
      </c>
      <c r="G91" s="16">
        <v>234</v>
      </c>
      <c r="H91" s="17">
        <v>4200</v>
      </c>
      <c r="I91" s="47">
        <v>500</v>
      </c>
      <c r="J91" s="18"/>
      <c r="K91" s="18"/>
      <c r="L91" s="18"/>
      <c r="M91" s="18"/>
      <c r="N91" s="18"/>
      <c r="O91" s="46">
        <f t="shared" si="2"/>
        <v>2100000</v>
      </c>
      <c r="P91" s="54"/>
    </row>
    <row r="92" spans="1:16" s="10" customFormat="1" ht="20.100000000000001" customHeight="1" x14ac:dyDescent="0.3">
      <c r="A92" s="105"/>
      <c r="B92" s="15" t="s">
        <v>180</v>
      </c>
      <c r="C92" s="16" t="s">
        <v>181</v>
      </c>
      <c r="D92" s="16">
        <v>874</v>
      </c>
      <c r="E92" s="16">
        <v>47</v>
      </c>
      <c r="F92" s="16">
        <v>37</v>
      </c>
      <c r="G92" s="16">
        <v>94</v>
      </c>
      <c r="H92" s="17">
        <v>5000</v>
      </c>
      <c r="I92" s="47">
        <v>0</v>
      </c>
      <c r="J92" s="18"/>
      <c r="K92" s="18"/>
      <c r="L92" s="18"/>
      <c r="M92" s="18"/>
      <c r="N92" s="18"/>
      <c r="O92" s="46">
        <f t="shared" si="2"/>
        <v>0</v>
      </c>
      <c r="P92" s="54"/>
    </row>
    <row r="93" spans="1:16" s="10" customFormat="1" ht="20.100000000000001" customHeight="1" x14ac:dyDescent="0.3">
      <c r="A93" s="105"/>
      <c r="B93" s="15" t="s">
        <v>182</v>
      </c>
      <c r="C93" s="16" t="s">
        <v>183</v>
      </c>
      <c r="D93" s="16">
        <v>4798</v>
      </c>
      <c r="E93" s="16">
        <v>896</v>
      </c>
      <c r="F93" s="16">
        <v>848</v>
      </c>
      <c r="G93" s="16">
        <v>1792</v>
      </c>
      <c r="H93" s="17">
        <v>6000</v>
      </c>
      <c r="I93" s="47">
        <v>500</v>
      </c>
      <c r="J93" s="18"/>
      <c r="K93" s="18"/>
      <c r="L93" s="18"/>
      <c r="M93" s="18"/>
      <c r="N93" s="18"/>
      <c r="O93" s="46">
        <f t="shared" si="2"/>
        <v>3000000</v>
      </c>
      <c r="P93" s="54"/>
    </row>
    <row r="94" spans="1:16" s="10" customFormat="1" ht="20.100000000000001" customHeight="1" x14ac:dyDescent="0.3">
      <c r="A94" s="105"/>
      <c r="B94" s="20" t="s">
        <v>184</v>
      </c>
      <c r="C94" s="16" t="s">
        <v>185</v>
      </c>
      <c r="D94" s="16">
        <v>290</v>
      </c>
      <c r="E94" s="16">
        <v>166</v>
      </c>
      <c r="F94" s="16">
        <v>303</v>
      </c>
      <c r="G94" s="16">
        <v>332</v>
      </c>
      <c r="H94" s="17">
        <v>6000</v>
      </c>
      <c r="I94" s="47">
        <v>500</v>
      </c>
      <c r="J94" s="18"/>
      <c r="K94" s="18"/>
      <c r="L94" s="18"/>
      <c r="M94" s="18"/>
      <c r="N94" s="18"/>
      <c r="O94" s="46">
        <f t="shared" si="2"/>
        <v>3000000</v>
      </c>
      <c r="P94" s="54"/>
    </row>
    <row r="95" spans="1:16" s="10" customFormat="1" ht="20.100000000000001" customHeight="1" x14ac:dyDescent="0.3">
      <c r="A95" s="105" t="s">
        <v>171</v>
      </c>
      <c r="B95" s="15" t="s">
        <v>186</v>
      </c>
      <c r="C95" s="16" t="s">
        <v>187</v>
      </c>
      <c r="D95" s="16">
        <v>296</v>
      </c>
      <c r="E95" s="16">
        <v>33</v>
      </c>
      <c r="F95" s="16">
        <v>62</v>
      </c>
      <c r="G95" s="16">
        <v>66</v>
      </c>
      <c r="H95" s="17">
        <v>7600</v>
      </c>
      <c r="I95" s="47">
        <v>200</v>
      </c>
      <c r="J95" s="18"/>
      <c r="K95" s="18"/>
      <c r="L95" s="18"/>
      <c r="M95" s="18"/>
      <c r="N95" s="18"/>
      <c r="O95" s="46">
        <f t="shared" si="2"/>
        <v>1520000</v>
      </c>
      <c r="P95" s="54"/>
    </row>
    <row r="96" spans="1:16" s="10" customFormat="1" ht="20.100000000000001" customHeight="1" x14ac:dyDescent="0.3">
      <c r="A96" s="105"/>
      <c r="B96" s="15" t="s">
        <v>188</v>
      </c>
      <c r="C96" s="16" t="s">
        <v>189</v>
      </c>
      <c r="D96" s="16">
        <v>215</v>
      </c>
      <c r="E96" s="16">
        <v>15</v>
      </c>
      <c r="F96" s="16">
        <v>26</v>
      </c>
      <c r="G96" s="16">
        <v>30</v>
      </c>
      <c r="H96" s="17">
        <v>9300</v>
      </c>
      <c r="I96" s="47">
        <v>0</v>
      </c>
      <c r="J96" s="18"/>
      <c r="K96" s="18"/>
      <c r="L96" s="18"/>
      <c r="M96" s="18"/>
      <c r="N96" s="18"/>
      <c r="O96" s="46">
        <f t="shared" si="2"/>
        <v>0</v>
      </c>
      <c r="P96" s="54"/>
    </row>
    <row r="97" spans="1:16" s="10" customFormat="1" ht="20.100000000000001" customHeight="1" x14ac:dyDescent="0.3">
      <c r="A97" s="105"/>
      <c r="B97" s="15" t="s">
        <v>190</v>
      </c>
      <c r="C97" s="16" t="s">
        <v>191</v>
      </c>
      <c r="D97" s="16">
        <v>1475</v>
      </c>
      <c r="E97" s="16">
        <v>248</v>
      </c>
      <c r="F97" s="16">
        <v>161</v>
      </c>
      <c r="G97" s="16">
        <v>496</v>
      </c>
      <c r="H97" s="17">
        <v>3200</v>
      </c>
      <c r="I97" s="47">
        <v>500</v>
      </c>
      <c r="J97" s="18"/>
      <c r="K97" s="18"/>
      <c r="L97" s="18"/>
      <c r="M97" s="18"/>
      <c r="N97" s="18"/>
      <c r="O97" s="46">
        <f t="shared" si="2"/>
        <v>1600000</v>
      </c>
      <c r="P97" s="54"/>
    </row>
    <row r="98" spans="1:16" s="10" customFormat="1" ht="20.100000000000001" customHeight="1" x14ac:dyDescent="0.3">
      <c r="A98" s="105"/>
      <c r="B98" s="15" t="s">
        <v>192</v>
      </c>
      <c r="C98" s="16" t="s">
        <v>193</v>
      </c>
      <c r="D98" s="16">
        <v>1298</v>
      </c>
      <c r="E98" s="16">
        <v>229</v>
      </c>
      <c r="F98" s="16">
        <v>268</v>
      </c>
      <c r="G98" s="16">
        <v>458</v>
      </c>
      <c r="H98" s="17">
        <v>4000</v>
      </c>
      <c r="I98" s="47">
        <v>500</v>
      </c>
      <c r="J98" s="18"/>
      <c r="K98" s="18"/>
      <c r="L98" s="18"/>
      <c r="M98" s="18"/>
      <c r="N98" s="18"/>
      <c r="O98" s="46">
        <f t="shared" si="2"/>
        <v>2000000</v>
      </c>
      <c r="P98" s="54"/>
    </row>
    <row r="99" spans="1:16" s="10" customFormat="1" ht="20.100000000000001" customHeight="1" x14ac:dyDescent="0.3">
      <c r="A99" s="105"/>
      <c r="B99" s="15" t="s">
        <v>194</v>
      </c>
      <c r="C99" s="16" t="s">
        <v>195</v>
      </c>
      <c r="D99" s="16">
        <v>775</v>
      </c>
      <c r="E99" s="16">
        <v>741</v>
      </c>
      <c r="F99" s="16">
        <v>767</v>
      </c>
      <c r="G99" s="16">
        <v>1482</v>
      </c>
      <c r="H99" s="17">
        <v>4700</v>
      </c>
      <c r="I99" s="47">
        <v>2000</v>
      </c>
      <c r="J99" s="18"/>
      <c r="K99" s="18"/>
      <c r="L99" s="18"/>
      <c r="M99" s="18"/>
      <c r="N99" s="18"/>
      <c r="O99" s="46">
        <f t="shared" si="2"/>
        <v>9400000</v>
      </c>
      <c r="P99" s="54"/>
    </row>
    <row r="100" spans="1:16" s="10" customFormat="1" ht="20.100000000000001" customHeight="1" x14ac:dyDescent="0.3">
      <c r="A100" s="105"/>
      <c r="B100" s="15" t="s">
        <v>196</v>
      </c>
      <c r="C100" s="16" t="s">
        <v>197</v>
      </c>
      <c r="D100" s="16">
        <v>2</v>
      </c>
      <c r="E100" s="16">
        <v>479</v>
      </c>
      <c r="F100" s="16">
        <v>661</v>
      </c>
      <c r="G100" s="16">
        <v>958</v>
      </c>
      <c r="H100" s="17">
        <v>5600</v>
      </c>
      <c r="I100" s="47">
        <v>500</v>
      </c>
      <c r="J100" s="18"/>
      <c r="K100" s="18"/>
      <c r="L100" s="18"/>
      <c r="M100" s="18"/>
      <c r="N100" s="18"/>
      <c r="O100" s="46">
        <f t="shared" si="2"/>
        <v>2800000</v>
      </c>
      <c r="P100" s="54"/>
    </row>
    <row r="101" spans="1:16" s="10" customFormat="1" ht="20.100000000000001" customHeight="1" x14ac:dyDescent="0.3">
      <c r="A101" s="105"/>
      <c r="B101" s="15" t="s">
        <v>198</v>
      </c>
      <c r="C101" s="16" t="s">
        <v>199</v>
      </c>
      <c r="D101" s="16">
        <v>772</v>
      </c>
      <c r="E101" s="16">
        <v>990</v>
      </c>
      <c r="F101" s="16">
        <v>1219</v>
      </c>
      <c r="G101" s="16">
        <v>1980</v>
      </c>
      <c r="H101" s="17">
        <v>6600</v>
      </c>
      <c r="I101" s="47">
        <v>2000</v>
      </c>
      <c r="J101" s="18"/>
      <c r="K101" s="18"/>
      <c r="L101" s="18"/>
      <c r="M101" s="18"/>
      <c r="N101" s="18"/>
      <c r="O101" s="46">
        <f t="shared" si="2"/>
        <v>13200000</v>
      </c>
      <c r="P101" s="54"/>
    </row>
    <row r="102" spans="1:16" s="10" customFormat="1" ht="20.100000000000001" customHeight="1" x14ac:dyDescent="0.3">
      <c r="A102" s="105"/>
      <c r="B102" s="15" t="s">
        <v>200</v>
      </c>
      <c r="C102" s="16" t="s">
        <v>201</v>
      </c>
      <c r="D102" s="16">
        <v>383</v>
      </c>
      <c r="E102" s="16">
        <v>25</v>
      </c>
      <c r="F102" s="16">
        <v>36</v>
      </c>
      <c r="G102" s="16">
        <v>50</v>
      </c>
      <c r="H102" s="17">
        <v>8200</v>
      </c>
      <c r="I102" s="47">
        <v>0</v>
      </c>
      <c r="J102" s="18"/>
      <c r="K102" s="18"/>
      <c r="L102" s="18"/>
      <c r="M102" s="18"/>
      <c r="N102" s="18"/>
      <c r="O102" s="46">
        <f t="shared" si="2"/>
        <v>0</v>
      </c>
      <c r="P102" s="54"/>
    </row>
    <row r="103" spans="1:16" s="10" customFormat="1" ht="20.100000000000001" customHeight="1" x14ac:dyDescent="0.3">
      <c r="A103" s="105"/>
      <c r="B103" s="15" t="s">
        <v>202</v>
      </c>
      <c r="C103" s="16" t="s">
        <v>203</v>
      </c>
      <c r="D103" s="16">
        <v>295</v>
      </c>
      <c r="E103" s="16">
        <v>13</v>
      </c>
      <c r="F103" s="16">
        <v>24</v>
      </c>
      <c r="G103" s="16">
        <v>26</v>
      </c>
      <c r="H103" s="17">
        <v>9800</v>
      </c>
      <c r="I103" s="47">
        <v>0</v>
      </c>
      <c r="J103" s="18"/>
      <c r="K103" s="18"/>
      <c r="L103" s="18"/>
      <c r="M103" s="18"/>
      <c r="N103" s="18"/>
      <c r="O103" s="46">
        <f t="shared" si="2"/>
        <v>0</v>
      </c>
      <c r="P103" s="54"/>
    </row>
    <row r="104" spans="1:16" s="10" customFormat="1" ht="20.100000000000001" customHeight="1" x14ac:dyDescent="0.3">
      <c r="A104" s="106" t="s">
        <v>35</v>
      </c>
      <c r="B104" s="107"/>
      <c r="C104" s="107"/>
      <c r="D104" s="107"/>
      <c r="E104" s="107"/>
      <c r="F104" s="107"/>
      <c r="G104" s="107"/>
      <c r="H104" s="95"/>
      <c r="I104" s="48">
        <f>SUM(I88:I103)</f>
        <v>11200</v>
      </c>
      <c r="J104" s="19"/>
      <c r="K104" s="19"/>
      <c r="L104" s="19"/>
      <c r="M104" s="19"/>
      <c r="N104" s="19"/>
      <c r="O104" s="48">
        <f>SUM(O88:O103)</f>
        <v>52770000</v>
      </c>
      <c r="P104" s="18"/>
    </row>
    <row r="105" spans="1:16" s="10" customFormat="1" ht="20.100000000000001" customHeight="1" x14ac:dyDescent="0.3">
      <c r="A105" s="18" t="s">
        <v>204</v>
      </c>
      <c r="B105" s="15" t="s">
        <v>205</v>
      </c>
      <c r="C105" s="16" t="s">
        <v>206</v>
      </c>
      <c r="D105" s="16">
        <v>7739</v>
      </c>
      <c r="E105" s="16">
        <v>3259</v>
      </c>
      <c r="F105" s="16">
        <v>3540</v>
      </c>
      <c r="G105" s="16">
        <v>6518</v>
      </c>
      <c r="H105" s="17">
        <v>2800</v>
      </c>
      <c r="I105" s="47">
        <v>1000</v>
      </c>
      <c r="J105" s="18"/>
      <c r="K105" s="18"/>
      <c r="L105" s="18"/>
      <c r="M105" s="18"/>
      <c r="N105" s="18"/>
      <c r="O105" s="46">
        <f t="shared" si="2"/>
        <v>2800000</v>
      </c>
      <c r="P105" s="18"/>
    </row>
    <row r="106" spans="1:16" s="10" customFormat="1" ht="20.100000000000001" customHeight="1" x14ac:dyDescent="0.3">
      <c r="A106" s="18" t="s">
        <v>207</v>
      </c>
      <c r="B106" s="15" t="s">
        <v>208</v>
      </c>
      <c r="C106" s="16" t="s">
        <v>209</v>
      </c>
      <c r="D106" s="16">
        <v>2779</v>
      </c>
      <c r="E106" s="16">
        <v>250</v>
      </c>
      <c r="F106" s="16">
        <v>283</v>
      </c>
      <c r="G106" s="16">
        <v>500</v>
      </c>
      <c r="H106" s="17">
        <v>1400</v>
      </c>
      <c r="I106" s="47">
        <v>500</v>
      </c>
      <c r="J106" s="18"/>
      <c r="K106" s="18"/>
      <c r="L106" s="18"/>
      <c r="M106" s="18"/>
      <c r="N106" s="18"/>
      <c r="O106" s="46">
        <f t="shared" si="2"/>
        <v>700000</v>
      </c>
      <c r="P106" s="18"/>
    </row>
    <row r="107" spans="1:16" s="10" customFormat="1" ht="20.100000000000001" customHeight="1" x14ac:dyDescent="0.3">
      <c r="A107" s="105" t="s">
        <v>210</v>
      </c>
      <c r="B107" s="15" t="s">
        <v>211</v>
      </c>
      <c r="C107" s="16" t="s">
        <v>212</v>
      </c>
      <c r="D107" s="16">
        <v>202</v>
      </c>
      <c r="E107" s="16">
        <v>466</v>
      </c>
      <c r="F107" s="16">
        <v>767</v>
      </c>
      <c r="G107" s="16">
        <v>932</v>
      </c>
      <c r="H107" s="17">
        <v>3200</v>
      </c>
      <c r="I107" s="47">
        <v>1000</v>
      </c>
      <c r="J107" s="18"/>
      <c r="K107" s="18"/>
      <c r="L107" s="18"/>
      <c r="M107" s="18"/>
      <c r="N107" s="18"/>
      <c r="O107" s="46">
        <f t="shared" si="2"/>
        <v>3200000</v>
      </c>
      <c r="P107" s="18"/>
    </row>
    <row r="108" spans="1:16" s="10" customFormat="1" ht="20.100000000000001" customHeight="1" x14ac:dyDescent="0.3">
      <c r="A108" s="105"/>
      <c r="B108" s="20" t="s">
        <v>213</v>
      </c>
      <c r="C108" s="16" t="s">
        <v>214</v>
      </c>
      <c r="D108" s="16">
        <v>4902</v>
      </c>
      <c r="E108" s="16">
        <v>1470</v>
      </c>
      <c r="F108" s="16">
        <v>1000</v>
      </c>
      <c r="G108" s="16">
        <v>2940</v>
      </c>
      <c r="H108" s="17">
        <v>3200</v>
      </c>
      <c r="I108" s="47">
        <v>3000</v>
      </c>
      <c r="J108" s="18"/>
      <c r="K108" s="18"/>
      <c r="L108" s="18"/>
      <c r="M108" s="18"/>
      <c r="N108" s="18"/>
      <c r="O108" s="46">
        <f t="shared" si="2"/>
        <v>9600000</v>
      </c>
      <c r="P108" s="18"/>
    </row>
    <row r="109" spans="1:16" s="10" customFormat="1" ht="20.100000000000001" customHeight="1" x14ac:dyDescent="0.3">
      <c r="A109" s="105"/>
      <c r="B109" s="20" t="s">
        <v>215</v>
      </c>
      <c r="C109" s="16" t="s">
        <v>216</v>
      </c>
      <c r="D109" s="16">
        <v>18403</v>
      </c>
      <c r="E109" s="16">
        <v>1611</v>
      </c>
      <c r="F109" s="16">
        <v>381</v>
      </c>
      <c r="G109" s="16">
        <v>3222</v>
      </c>
      <c r="H109" s="17">
        <v>3200</v>
      </c>
      <c r="I109" s="47">
        <v>6000</v>
      </c>
      <c r="J109" s="18"/>
      <c r="K109" s="18"/>
      <c r="L109" s="18"/>
      <c r="M109" s="18"/>
      <c r="N109" s="18"/>
      <c r="O109" s="46">
        <f t="shared" si="2"/>
        <v>19200000</v>
      </c>
      <c r="P109" s="18"/>
    </row>
    <row r="110" spans="1:16" s="10" customFormat="1" ht="20.100000000000001" customHeight="1" x14ac:dyDescent="0.3">
      <c r="A110" s="18" t="s">
        <v>217</v>
      </c>
      <c r="B110" s="15" t="s">
        <v>218</v>
      </c>
      <c r="C110" s="16" t="s">
        <v>219</v>
      </c>
      <c r="D110" s="16">
        <v>44</v>
      </c>
      <c r="E110" s="16">
        <v>2463</v>
      </c>
      <c r="F110" s="16">
        <v>2000</v>
      </c>
      <c r="G110" s="16">
        <v>4926</v>
      </c>
      <c r="H110" s="17">
        <v>3200</v>
      </c>
      <c r="I110" s="47">
        <v>5000</v>
      </c>
      <c r="J110" s="18"/>
      <c r="K110" s="18"/>
      <c r="L110" s="18"/>
      <c r="M110" s="18"/>
      <c r="N110" s="18"/>
      <c r="O110" s="46">
        <f t="shared" si="2"/>
        <v>16000000</v>
      </c>
      <c r="P110" s="18"/>
    </row>
    <row r="111" spans="1:16" s="10" customFormat="1" ht="20.100000000000001" customHeight="1" x14ac:dyDescent="0.3">
      <c r="A111" s="106" t="s">
        <v>35</v>
      </c>
      <c r="B111" s="107"/>
      <c r="C111" s="107"/>
      <c r="D111" s="107"/>
      <c r="E111" s="107"/>
      <c r="F111" s="107"/>
      <c r="G111" s="107"/>
      <c r="H111" s="95"/>
      <c r="I111" s="48">
        <f>SUM(I105:I110)</f>
        <v>16500</v>
      </c>
      <c r="J111" s="19"/>
      <c r="K111" s="19"/>
      <c r="L111" s="19"/>
      <c r="M111" s="19"/>
      <c r="N111" s="19"/>
      <c r="O111" s="48">
        <f>SUM(O105:O110)</f>
        <v>51500000</v>
      </c>
      <c r="P111" s="18"/>
    </row>
    <row r="112" spans="1:16" s="10" customFormat="1" ht="20.100000000000001" customHeight="1" x14ac:dyDescent="0.3">
      <c r="A112" s="114" t="s">
        <v>220</v>
      </c>
      <c r="B112" s="15" t="s">
        <v>221</v>
      </c>
      <c r="C112" s="16" t="s">
        <v>222</v>
      </c>
      <c r="D112" s="16">
        <v>13664</v>
      </c>
      <c r="E112" s="16">
        <v>58</v>
      </c>
      <c r="F112" s="16">
        <v>74</v>
      </c>
      <c r="G112" s="16">
        <v>116</v>
      </c>
      <c r="H112" s="17">
        <v>1600</v>
      </c>
      <c r="I112" s="47">
        <v>0</v>
      </c>
      <c r="J112" s="18"/>
      <c r="K112" s="18"/>
      <c r="L112" s="18"/>
      <c r="M112" s="18"/>
      <c r="N112" s="18"/>
      <c r="O112" s="46">
        <f t="shared" si="2"/>
        <v>0</v>
      </c>
      <c r="P112" s="18"/>
    </row>
    <row r="113" spans="1:16" s="10" customFormat="1" ht="20.100000000000001" customHeight="1" x14ac:dyDescent="0.3">
      <c r="A113" s="114"/>
      <c r="B113" s="15" t="s">
        <v>223</v>
      </c>
      <c r="C113" s="16" t="s">
        <v>224</v>
      </c>
      <c r="D113" s="16">
        <v>6371</v>
      </c>
      <c r="E113" s="16">
        <v>428</v>
      </c>
      <c r="F113" s="16">
        <v>480</v>
      </c>
      <c r="G113" s="16">
        <v>856</v>
      </c>
      <c r="H113" s="17">
        <v>2200</v>
      </c>
      <c r="I113" s="47">
        <v>0</v>
      </c>
      <c r="J113" s="18"/>
      <c r="K113" s="18"/>
      <c r="L113" s="18"/>
      <c r="M113" s="18"/>
      <c r="N113" s="18"/>
      <c r="O113" s="46">
        <f t="shared" si="2"/>
        <v>0</v>
      </c>
      <c r="P113" s="18"/>
    </row>
    <row r="114" spans="1:16" s="10" customFormat="1" ht="20.100000000000001" customHeight="1" x14ac:dyDescent="0.3">
      <c r="A114" s="114"/>
      <c r="B114" s="15" t="s">
        <v>225</v>
      </c>
      <c r="C114" s="16" t="s">
        <v>226</v>
      </c>
      <c r="D114" s="16">
        <v>3209</v>
      </c>
      <c r="E114" s="16">
        <v>104</v>
      </c>
      <c r="F114" s="16">
        <v>136</v>
      </c>
      <c r="G114" s="16">
        <v>208</v>
      </c>
      <c r="H114" s="17">
        <v>1800</v>
      </c>
      <c r="I114" s="47">
        <v>0</v>
      </c>
      <c r="J114" s="18"/>
      <c r="K114" s="18"/>
      <c r="L114" s="18"/>
      <c r="M114" s="18"/>
      <c r="N114" s="18"/>
      <c r="O114" s="46">
        <f t="shared" si="2"/>
        <v>0</v>
      </c>
      <c r="P114" s="18"/>
    </row>
    <row r="115" spans="1:16" s="10" customFormat="1" ht="20.100000000000001" customHeight="1" x14ac:dyDescent="0.3">
      <c r="A115" s="114"/>
      <c r="B115" s="15" t="s">
        <v>227</v>
      </c>
      <c r="C115" s="16" t="s">
        <v>228</v>
      </c>
      <c r="D115" s="16">
        <v>2551</v>
      </c>
      <c r="E115" s="16">
        <v>798</v>
      </c>
      <c r="F115" s="16">
        <v>799</v>
      </c>
      <c r="G115" s="16">
        <v>1596</v>
      </c>
      <c r="H115" s="17">
        <v>1400</v>
      </c>
      <c r="I115" s="47">
        <v>500</v>
      </c>
      <c r="J115" s="18"/>
      <c r="K115" s="18"/>
      <c r="L115" s="18"/>
      <c r="M115" s="18"/>
      <c r="N115" s="18"/>
      <c r="O115" s="46">
        <f t="shared" si="2"/>
        <v>700000</v>
      </c>
      <c r="P115" s="18"/>
    </row>
    <row r="116" spans="1:16" s="10" customFormat="1" ht="20.100000000000001" customHeight="1" x14ac:dyDescent="0.3">
      <c r="A116" s="114"/>
      <c r="B116" s="15" t="s">
        <v>229</v>
      </c>
      <c r="C116" s="16" t="s">
        <v>230</v>
      </c>
      <c r="D116" s="16">
        <v>7133</v>
      </c>
      <c r="E116" s="16">
        <v>98</v>
      </c>
      <c r="F116" s="16">
        <v>115</v>
      </c>
      <c r="G116" s="16">
        <v>196</v>
      </c>
      <c r="H116" s="17">
        <v>2100</v>
      </c>
      <c r="I116" s="47">
        <v>0</v>
      </c>
      <c r="J116" s="18"/>
      <c r="K116" s="18"/>
      <c r="L116" s="18"/>
      <c r="M116" s="18"/>
      <c r="N116" s="18"/>
      <c r="O116" s="46">
        <f t="shared" si="2"/>
        <v>0</v>
      </c>
      <c r="P116" s="18"/>
    </row>
    <row r="117" spans="1:16" s="10" customFormat="1" ht="20.100000000000001" customHeight="1" x14ac:dyDescent="0.3">
      <c r="A117" s="114"/>
      <c r="B117" s="15" t="s">
        <v>231</v>
      </c>
      <c r="C117" s="16" t="s">
        <v>232</v>
      </c>
      <c r="D117" s="16">
        <v>2480</v>
      </c>
      <c r="E117" s="16">
        <v>152</v>
      </c>
      <c r="F117" s="16">
        <v>187</v>
      </c>
      <c r="G117" s="16">
        <v>304</v>
      </c>
      <c r="H117" s="17">
        <v>2100</v>
      </c>
      <c r="I117" s="47">
        <v>0</v>
      </c>
      <c r="J117" s="18"/>
      <c r="K117" s="18"/>
      <c r="L117" s="18"/>
      <c r="M117" s="18"/>
      <c r="N117" s="18"/>
      <c r="O117" s="46">
        <f t="shared" si="2"/>
        <v>0</v>
      </c>
      <c r="P117" s="18"/>
    </row>
    <row r="118" spans="1:16" s="10" customFormat="1" ht="20.100000000000001" customHeight="1" x14ac:dyDescent="0.3">
      <c r="A118" s="114"/>
      <c r="B118" s="15" t="s">
        <v>233</v>
      </c>
      <c r="C118" s="16" t="s">
        <v>234</v>
      </c>
      <c r="D118" s="16">
        <v>165</v>
      </c>
      <c r="E118" s="16">
        <v>477</v>
      </c>
      <c r="F118" s="16">
        <v>556</v>
      </c>
      <c r="G118" s="16">
        <v>954</v>
      </c>
      <c r="H118" s="17">
        <v>1600</v>
      </c>
      <c r="I118" s="47">
        <v>1000</v>
      </c>
      <c r="J118" s="18"/>
      <c r="K118" s="18"/>
      <c r="L118" s="18"/>
      <c r="M118" s="18"/>
      <c r="N118" s="18"/>
      <c r="O118" s="46">
        <f t="shared" si="2"/>
        <v>1600000</v>
      </c>
      <c r="P118" s="18"/>
    </row>
    <row r="119" spans="1:16" s="10" customFormat="1" ht="20.100000000000001" customHeight="1" x14ac:dyDescent="0.3">
      <c r="A119" s="114"/>
      <c r="B119" s="15" t="s">
        <v>235</v>
      </c>
      <c r="C119" s="16" t="s">
        <v>236</v>
      </c>
      <c r="D119" s="16">
        <v>631</v>
      </c>
      <c r="E119" s="16">
        <v>174</v>
      </c>
      <c r="F119" s="16">
        <v>212</v>
      </c>
      <c r="G119" s="16">
        <v>348</v>
      </c>
      <c r="H119" s="17">
        <v>4700</v>
      </c>
      <c r="I119" s="47">
        <v>300</v>
      </c>
      <c r="J119" s="18"/>
      <c r="K119" s="18"/>
      <c r="L119" s="18"/>
      <c r="M119" s="18"/>
      <c r="N119" s="18"/>
      <c r="O119" s="46">
        <f t="shared" si="2"/>
        <v>1410000</v>
      </c>
      <c r="P119" s="18"/>
    </row>
    <row r="120" spans="1:16" s="10" customFormat="1" ht="20.100000000000001" customHeight="1" x14ac:dyDescent="0.3">
      <c r="A120" s="106" t="s">
        <v>728</v>
      </c>
      <c r="B120" s="107"/>
      <c r="C120" s="107"/>
      <c r="D120" s="107"/>
      <c r="E120" s="107"/>
      <c r="F120" s="107"/>
      <c r="G120" s="107"/>
      <c r="H120" s="95"/>
      <c r="I120" s="48">
        <f>SUM(I112:I119)</f>
        <v>1800</v>
      </c>
      <c r="J120" s="19"/>
      <c r="K120" s="19"/>
      <c r="L120" s="19"/>
      <c r="M120" s="19"/>
      <c r="N120" s="19"/>
      <c r="O120" s="48">
        <f>SUM(O112:O119)</f>
        <v>3710000</v>
      </c>
      <c r="P120" s="18"/>
    </row>
    <row r="121" spans="1:16" s="10" customFormat="1" ht="20.100000000000001" customHeight="1" x14ac:dyDescent="0.3">
      <c r="A121" s="105" t="s">
        <v>237</v>
      </c>
      <c r="B121" s="15" t="s">
        <v>238</v>
      </c>
      <c r="C121" s="16" t="s">
        <v>239</v>
      </c>
      <c r="D121" s="16">
        <v>5500</v>
      </c>
      <c r="E121" s="16">
        <v>322</v>
      </c>
      <c r="F121" s="16">
        <v>367</v>
      </c>
      <c r="G121" s="16">
        <v>644</v>
      </c>
      <c r="H121" s="17">
        <v>400</v>
      </c>
      <c r="I121" s="47">
        <v>0</v>
      </c>
      <c r="J121" s="18"/>
      <c r="K121" s="18"/>
      <c r="L121" s="18"/>
      <c r="M121" s="18"/>
      <c r="N121" s="18"/>
      <c r="O121" s="46">
        <f t="shared" si="2"/>
        <v>0</v>
      </c>
      <c r="P121" s="18"/>
    </row>
    <row r="122" spans="1:16" s="10" customFormat="1" ht="20.100000000000001" customHeight="1" x14ac:dyDescent="0.3">
      <c r="A122" s="105"/>
      <c r="B122" s="15" t="s">
        <v>240</v>
      </c>
      <c r="C122" s="16" t="s">
        <v>241</v>
      </c>
      <c r="D122" s="16">
        <v>8020</v>
      </c>
      <c r="E122" s="16">
        <v>2354</v>
      </c>
      <c r="F122" s="16">
        <v>2400</v>
      </c>
      <c r="G122" s="16">
        <v>4708</v>
      </c>
      <c r="H122" s="17">
        <v>530</v>
      </c>
      <c r="I122" s="47">
        <v>3000</v>
      </c>
      <c r="J122" s="18"/>
      <c r="K122" s="18"/>
      <c r="L122" s="18"/>
      <c r="M122" s="18"/>
      <c r="N122" s="18"/>
      <c r="O122" s="46">
        <f t="shared" si="2"/>
        <v>1590000</v>
      </c>
      <c r="P122" s="18"/>
    </row>
    <row r="123" spans="1:16" s="10" customFormat="1" ht="20.100000000000001" customHeight="1" x14ac:dyDescent="0.3">
      <c r="A123" s="105"/>
      <c r="B123" s="15" t="s">
        <v>242</v>
      </c>
      <c r="C123" s="16" t="s">
        <v>243</v>
      </c>
      <c r="D123" s="16">
        <v>2366</v>
      </c>
      <c r="E123" s="16">
        <v>361</v>
      </c>
      <c r="F123" s="16">
        <v>310</v>
      </c>
      <c r="G123" s="16">
        <v>722</v>
      </c>
      <c r="H123" s="17">
        <v>2120</v>
      </c>
      <c r="I123" s="47">
        <v>0</v>
      </c>
      <c r="J123" s="18"/>
      <c r="K123" s="18"/>
      <c r="L123" s="18"/>
      <c r="M123" s="18"/>
      <c r="N123" s="18"/>
      <c r="O123" s="46">
        <f t="shared" si="2"/>
        <v>0</v>
      </c>
      <c r="P123" s="18"/>
    </row>
    <row r="124" spans="1:16" s="10" customFormat="1" ht="20.100000000000001" customHeight="1" x14ac:dyDescent="0.3">
      <c r="A124" s="105"/>
      <c r="B124" s="15" t="s">
        <v>244</v>
      </c>
      <c r="C124" s="16" t="s">
        <v>245</v>
      </c>
      <c r="D124" s="16">
        <v>1000</v>
      </c>
      <c r="E124" s="16">
        <v>113</v>
      </c>
      <c r="F124" s="16">
        <v>97</v>
      </c>
      <c r="G124" s="16">
        <v>226</v>
      </c>
      <c r="H124" s="17">
        <v>3300</v>
      </c>
      <c r="I124" s="47">
        <v>0</v>
      </c>
      <c r="J124" s="18"/>
      <c r="K124" s="18"/>
      <c r="L124" s="18"/>
      <c r="M124" s="18"/>
      <c r="N124" s="18"/>
      <c r="O124" s="46">
        <f t="shared" ref="O124" si="3">SUM(I124*H124)</f>
        <v>0</v>
      </c>
      <c r="P124" s="18"/>
    </row>
    <row r="125" spans="1:16" s="10" customFormat="1" ht="20.100000000000001" customHeight="1" x14ac:dyDescent="0.3">
      <c r="A125" s="106" t="s">
        <v>35</v>
      </c>
      <c r="B125" s="107"/>
      <c r="C125" s="107"/>
      <c r="D125" s="107"/>
      <c r="E125" s="107"/>
      <c r="F125" s="107"/>
      <c r="G125" s="107"/>
      <c r="H125" s="95"/>
      <c r="I125" s="48">
        <f>SUM(I121:I124)</f>
        <v>3000</v>
      </c>
      <c r="J125" s="19"/>
      <c r="K125" s="19"/>
      <c r="L125" s="19"/>
      <c r="M125" s="19"/>
      <c r="N125" s="19"/>
      <c r="O125" s="55">
        <f>SUM(O121:O124)</f>
        <v>1590000</v>
      </c>
      <c r="P125" s="18"/>
    </row>
    <row r="126" spans="1:16" s="10" customFormat="1" ht="20.100000000000001" customHeight="1" x14ac:dyDescent="0.3">
      <c r="A126" s="105" t="s">
        <v>246</v>
      </c>
      <c r="B126" s="15" t="s">
        <v>247</v>
      </c>
      <c r="C126" s="16" t="s">
        <v>248</v>
      </c>
      <c r="D126" s="16">
        <v>57630</v>
      </c>
      <c r="E126" s="16">
        <v>5092</v>
      </c>
      <c r="F126" s="16">
        <v>6027</v>
      </c>
      <c r="G126" s="16">
        <v>10184</v>
      </c>
      <c r="H126" s="17">
        <v>600</v>
      </c>
      <c r="I126" s="47">
        <v>0</v>
      </c>
      <c r="J126" s="18"/>
      <c r="K126" s="18"/>
      <c r="L126" s="18"/>
      <c r="M126" s="18"/>
      <c r="N126" s="18"/>
      <c r="O126" s="46">
        <f>SUM(I126*G126)</f>
        <v>0</v>
      </c>
      <c r="P126" s="18"/>
    </row>
    <row r="127" spans="1:16" s="10" customFormat="1" ht="20.100000000000001" customHeight="1" x14ac:dyDescent="0.3">
      <c r="A127" s="105"/>
      <c r="B127" s="15" t="s">
        <v>249</v>
      </c>
      <c r="C127" s="16" t="s">
        <v>250</v>
      </c>
      <c r="D127" s="16">
        <v>46397</v>
      </c>
      <c r="E127" s="16">
        <v>2521</v>
      </c>
      <c r="F127" s="16">
        <v>4405</v>
      </c>
      <c r="G127" s="16">
        <v>5042</v>
      </c>
      <c r="H127" s="17">
        <v>720</v>
      </c>
      <c r="I127" s="47">
        <v>0</v>
      </c>
      <c r="J127" s="18"/>
      <c r="K127" s="18"/>
      <c r="L127" s="18"/>
      <c r="M127" s="18"/>
      <c r="N127" s="18"/>
      <c r="O127" s="46">
        <f>SUM(I127*G127)</f>
        <v>0</v>
      </c>
      <c r="P127" s="18"/>
    </row>
    <row r="128" spans="1:16" s="10" customFormat="1" ht="20.100000000000001" customHeight="1" thickBot="1" x14ac:dyDescent="0.35">
      <c r="A128" s="108" t="s">
        <v>35</v>
      </c>
      <c r="B128" s="109"/>
      <c r="C128" s="109"/>
      <c r="D128" s="109"/>
      <c r="E128" s="109"/>
      <c r="F128" s="109"/>
      <c r="G128" s="109"/>
      <c r="H128" s="110"/>
      <c r="I128" s="49">
        <f>SUM(I126:I127)</f>
        <v>0</v>
      </c>
      <c r="J128" s="21"/>
      <c r="K128" s="21"/>
      <c r="L128" s="21"/>
      <c r="M128" s="21"/>
      <c r="N128" s="21"/>
      <c r="O128" s="49">
        <f>SUM(O126:O127)</f>
        <v>0</v>
      </c>
      <c r="P128" s="22"/>
    </row>
    <row r="129" spans="1:16" s="10" customFormat="1" ht="20.100000000000001" customHeight="1" thickBot="1" x14ac:dyDescent="0.35">
      <c r="A129" s="111" t="s">
        <v>251</v>
      </c>
      <c r="B129" s="112"/>
      <c r="C129" s="112"/>
      <c r="D129" s="112"/>
      <c r="E129" s="112"/>
      <c r="F129" s="112"/>
      <c r="G129" s="112"/>
      <c r="H129" s="113"/>
      <c r="I129" s="56">
        <f>SUM(I16+I21+I46+I59+I64+I75+I78+I87+I104+I111+I120+I125+I128)</f>
        <v>86180</v>
      </c>
      <c r="J129" s="23"/>
      <c r="K129" s="23"/>
      <c r="L129" s="23"/>
      <c r="M129" s="23"/>
      <c r="N129" s="23"/>
      <c r="O129" s="56">
        <f>SUM(O128,O125,O120,O111,O104,O87,O78,O75,O64,O59,O46,O21,O16)</f>
        <v>349741000</v>
      </c>
      <c r="P129" s="24"/>
    </row>
    <row r="130" spans="1:16" s="10" customFormat="1" ht="20.100000000000001" customHeight="1" thickBot="1" x14ac:dyDescent="0.35">
      <c r="A130" s="5"/>
      <c r="B130" s="2"/>
      <c r="C130" s="3"/>
      <c r="D130" s="3"/>
      <c r="E130" s="3"/>
      <c r="F130" s="3"/>
      <c r="G130" s="3"/>
      <c r="H130" s="25"/>
      <c r="I130" s="5"/>
      <c r="J130" s="9"/>
      <c r="K130" s="9"/>
      <c r="L130" s="9"/>
      <c r="M130" s="9"/>
      <c r="N130" s="9"/>
      <c r="O130" s="9"/>
      <c r="P130" s="9"/>
    </row>
    <row r="131" spans="1:16" s="10" customFormat="1" ht="20.100000000000001" customHeight="1" thickBot="1" x14ac:dyDescent="0.35">
      <c r="A131" s="5"/>
      <c r="B131" s="2"/>
      <c r="C131" s="3"/>
      <c r="D131" s="96"/>
      <c r="E131" s="97"/>
      <c r="F131" s="97"/>
      <c r="G131" s="98"/>
      <c r="H131" s="98"/>
      <c r="I131" s="101"/>
      <c r="J131" s="102"/>
      <c r="K131" s="102"/>
      <c r="L131" s="103" t="s">
        <v>252</v>
      </c>
      <c r="M131" s="104"/>
      <c r="N131" s="82" t="s">
        <v>253</v>
      </c>
      <c r="O131" s="83"/>
      <c r="P131" s="9"/>
    </row>
    <row r="132" spans="1:16" ht="20.100000000000001" customHeight="1" x14ac:dyDescent="0.3">
      <c r="D132" s="84" t="s">
        <v>254</v>
      </c>
      <c r="E132" s="99"/>
      <c r="F132" s="99"/>
      <c r="G132" s="100"/>
      <c r="H132" s="100"/>
      <c r="I132" s="84" t="s">
        <v>741</v>
      </c>
      <c r="J132" s="85"/>
      <c r="K132" s="85"/>
      <c r="L132" s="86">
        <f>SUM(P4)</f>
        <v>349741000</v>
      </c>
      <c r="M132" s="87"/>
      <c r="N132" s="88">
        <f>SUM(L132)</f>
        <v>349741000</v>
      </c>
      <c r="O132" s="89"/>
    </row>
    <row r="133" spans="1:16" ht="20.100000000000001" customHeight="1" x14ac:dyDescent="0.3">
      <c r="D133" s="90" t="s">
        <v>255</v>
      </c>
      <c r="E133" s="95"/>
      <c r="F133" s="95"/>
      <c r="G133" s="67"/>
      <c r="H133" s="67"/>
      <c r="I133" s="90" t="s">
        <v>742</v>
      </c>
      <c r="J133" s="91"/>
      <c r="K133" s="91"/>
      <c r="L133" s="80">
        <f>SUM('반제품 임가공'!N4)</f>
        <v>259935090</v>
      </c>
      <c r="M133" s="81"/>
      <c r="N133" s="67">
        <f>SUM(L133)</f>
        <v>259935090</v>
      </c>
      <c r="O133" s="68"/>
    </row>
    <row r="134" spans="1:16" ht="20.100000000000001" customHeight="1" x14ac:dyDescent="0.3">
      <c r="D134" s="90" t="s">
        <v>256</v>
      </c>
      <c r="E134" s="95"/>
      <c r="F134" s="95"/>
      <c r="G134" s="67"/>
      <c r="H134" s="67"/>
      <c r="I134" s="90" t="s">
        <v>743</v>
      </c>
      <c r="J134" s="91"/>
      <c r="K134" s="91"/>
      <c r="L134" s="80">
        <f>SUM('완제품 일반무역'!P4)</f>
        <v>79562000</v>
      </c>
      <c r="M134" s="81"/>
      <c r="N134" s="67">
        <f>SUM(L134)</f>
        <v>79562000</v>
      </c>
      <c r="O134" s="68"/>
    </row>
    <row r="135" spans="1:16" ht="20.100000000000001" customHeight="1" thickBot="1" x14ac:dyDescent="0.35">
      <c r="D135" s="69" t="s">
        <v>257</v>
      </c>
      <c r="E135" s="92"/>
      <c r="F135" s="92"/>
      <c r="G135" s="73"/>
      <c r="H135" s="73"/>
      <c r="I135" s="69" t="s">
        <v>744</v>
      </c>
      <c r="J135" s="70"/>
      <c r="K135" s="70"/>
      <c r="L135" s="71">
        <f>SUM('반제품 일반무역'!M20)</f>
        <v>455000</v>
      </c>
      <c r="M135" s="72"/>
      <c r="N135" s="73">
        <f>SUM(L135)</f>
        <v>455000</v>
      </c>
      <c r="O135" s="74"/>
    </row>
    <row r="136" spans="1:16" ht="20.100000000000001" customHeight="1" thickBot="1" x14ac:dyDescent="0.35">
      <c r="D136" s="93" t="s">
        <v>258</v>
      </c>
      <c r="E136" s="94"/>
      <c r="F136" s="94"/>
      <c r="G136" s="79"/>
      <c r="H136" s="79"/>
      <c r="I136" s="75" t="s">
        <v>745</v>
      </c>
      <c r="J136" s="76"/>
      <c r="K136" s="76"/>
      <c r="L136" s="77">
        <f>SUM(L132:M135)</f>
        <v>689693090</v>
      </c>
      <c r="M136" s="78"/>
      <c r="N136" s="79">
        <f>SUM(N132:O135)</f>
        <v>689693090</v>
      </c>
      <c r="O136" s="79"/>
    </row>
  </sheetData>
  <mergeCells count="70">
    <mergeCell ref="A2:P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A8:A15"/>
    <mergeCell ref="A16:H16"/>
    <mergeCell ref="A17:A20"/>
    <mergeCell ref="A21:H21"/>
    <mergeCell ref="A22:A45"/>
    <mergeCell ref="A46:H46"/>
    <mergeCell ref="A47:A52"/>
    <mergeCell ref="A53:A58"/>
    <mergeCell ref="A59:H59"/>
    <mergeCell ref="A60:A63"/>
    <mergeCell ref="A64:H64"/>
    <mergeCell ref="A65:A74"/>
    <mergeCell ref="A75:H75"/>
    <mergeCell ref="A76:A77"/>
    <mergeCell ref="A78:H78"/>
    <mergeCell ref="A79:A86"/>
    <mergeCell ref="A87:H87"/>
    <mergeCell ref="A88:A94"/>
    <mergeCell ref="A95:A103"/>
    <mergeCell ref="A104:H104"/>
    <mergeCell ref="A107:A109"/>
    <mergeCell ref="A111:H111"/>
    <mergeCell ref="A112:A119"/>
    <mergeCell ref="A120:H120"/>
    <mergeCell ref="D131:H131"/>
    <mergeCell ref="D132:H132"/>
    <mergeCell ref="I131:K131"/>
    <mergeCell ref="L131:M131"/>
    <mergeCell ref="A121:A124"/>
    <mergeCell ref="A125:H125"/>
    <mergeCell ref="A126:A127"/>
    <mergeCell ref="A128:H128"/>
    <mergeCell ref="A129:H129"/>
    <mergeCell ref="D135:H135"/>
    <mergeCell ref="D136:H136"/>
    <mergeCell ref="D133:H133"/>
    <mergeCell ref="D134:H134"/>
    <mergeCell ref="I134:K134"/>
    <mergeCell ref="N131:O131"/>
    <mergeCell ref="I132:K132"/>
    <mergeCell ref="L132:M132"/>
    <mergeCell ref="N132:O132"/>
    <mergeCell ref="I133:K133"/>
    <mergeCell ref="L133:M133"/>
    <mergeCell ref="N133:O133"/>
    <mergeCell ref="N134:O134"/>
    <mergeCell ref="I135:K135"/>
    <mergeCell ref="L135:M135"/>
    <mergeCell ref="N135:O135"/>
    <mergeCell ref="I136:K136"/>
    <mergeCell ref="L136:M136"/>
    <mergeCell ref="N136:O136"/>
    <mergeCell ref="L134:M134"/>
  </mergeCells>
  <phoneticPr fontId="9" type="noConversion"/>
  <pageMargins left="0.23622047244094491" right="0.23622047244094491" top="0.35433070866141736" bottom="0.74803149606299213" header="0.31496062992125984" footer="0.31496062992125984"/>
  <pageSetup paperSize="9" scale="74" fitToHeight="0" orientation="landscape" useFirstPageNumber="1" horizontalDpi="4294967295" verticalDpi="4294967295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N205"/>
  <sheetViews>
    <sheetView zoomScaleNormal="100" workbookViewId="0">
      <pane xSplit="6" ySplit="7" topLeftCell="G182" activePane="bottomRight" state="frozen"/>
      <selection pane="topRight"/>
      <selection pane="bottomLeft"/>
      <selection pane="bottomRight" activeCell="I203" sqref="I203"/>
    </sheetView>
  </sheetViews>
  <sheetFormatPr defaultColWidth="9" defaultRowHeight="20.100000000000001" customHeight="1" x14ac:dyDescent="0.3"/>
  <cols>
    <col min="1" max="1" width="10.625" style="1" customWidth="1"/>
    <col min="2" max="2" width="10.625" style="2" customWidth="1"/>
    <col min="3" max="3" width="40.625" style="3" customWidth="1"/>
    <col min="4" max="5" width="10.625" style="3" customWidth="1"/>
    <col min="6" max="6" width="10.625" style="4" customWidth="1"/>
    <col min="7" max="7" width="10.625" style="5" customWidth="1"/>
    <col min="8" max="13" width="10.625" style="6" customWidth="1"/>
    <col min="14" max="14" width="40.625" style="6" customWidth="1"/>
    <col min="15" max="225" width="9" style="7" customWidth="1"/>
    <col min="226" max="226" width="9.625" style="7" customWidth="1"/>
    <col min="227" max="227" width="7.625" style="7" customWidth="1"/>
    <col min="228" max="228" width="18.5" style="7" customWidth="1"/>
    <col min="229" max="229" width="6.625" style="7" customWidth="1"/>
    <col min="230" max="230" width="12.25" style="7" customWidth="1"/>
    <col min="231" max="231" width="8" style="7" customWidth="1"/>
    <col min="232" max="232" width="10.625" style="7" customWidth="1"/>
    <col min="233" max="233" width="8" style="7" customWidth="1"/>
    <col min="234" max="234" width="11.375" style="7" customWidth="1"/>
    <col min="235" max="235" width="11.5" style="7" customWidth="1"/>
    <col min="236" max="236" width="8" style="7" customWidth="1"/>
    <col min="237" max="237" width="11.25" style="7" customWidth="1"/>
    <col min="238" max="238" width="8" style="7" customWidth="1"/>
    <col min="239" max="239" width="10.875" style="7" customWidth="1"/>
    <col min="240" max="240" width="12.25" style="7" customWidth="1"/>
    <col min="241" max="241" width="8" style="7" customWidth="1"/>
    <col min="242" max="242" width="11.875" style="7" customWidth="1"/>
    <col min="243" max="243" width="8" style="7" customWidth="1"/>
    <col min="244" max="244" width="11" style="7" customWidth="1"/>
    <col min="245" max="245" width="12.25" style="7" customWidth="1"/>
    <col min="246" max="246" width="8" style="7" customWidth="1"/>
    <col min="247" max="247" width="11.875" style="7" customWidth="1"/>
    <col min="248" max="248" width="8" style="7" customWidth="1"/>
    <col min="249" max="249" width="12.25" style="7" customWidth="1"/>
    <col min="250" max="250" width="14.25" style="7" customWidth="1"/>
    <col min="251" max="251" width="8" style="7" customWidth="1"/>
    <col min="252" max="252" width="14" style="7" customWidth="1"/>
    <col min="253" max="253" width="8.875" style="7" customWidth="1"/>
    <col min="254" max="254" width="15.25" style="7" customWidth="1"/>
    <col min="255" max="255" width="16.375" style="7" customWidth="1"/>
    <col min="256" max="256" width="8.875" style="7" customWidth="1"/>
    <col min="257" max="257" width="9.625" style="7" customWidth="1"/>
    <col min="258" max="258" width="8.75" style="7" customWidth="1"/>
    <col min="259" max="259" width="12.375" style="7" customWidth="1"/>
    <col min="260" max="260" width="8.75" style="7" customWidth="1"/>
    <col min="261" max="261" width="11.5" style="7" customWidth="1"/>
    <col min="262" max="262" width="6.625" style="7" customWidth="1"/>
    <col min="263" max="263" width="11.25" style="7" customWidth="1"/>
    <col min="264" max="481" width="9" style="7" customWidth="1"/>
    <col min="482" max="482" width="9.625" style="7" customWidth="1"/>
    <col min="483" max="483" width="7.625" style="7" customWidth="1"/>
    <col min="484" max="484" width="18.5" style="7" customWidth="1"/>
    <col min="485" max="485" width="6.625" style="7" customWidth="1"/>
    <col min="486" max="486" width="12.25" style="7" customWidth="1"/>
    <col min="487" max="487" width="8" style="7" customWidth="1"/>
    <col min="488" max="488" width="10.625" style="7" customWidth="1"/>
    <col min="489" max="489" width="8" style="7" customWidth="1"/>
    <col min="490" max="490" width="11.375" style="7" customWidth="1"/>
    <col min="491" max="491" width="11.5" style="7" customWidth="1"/>
    <col min="492" max="492" width="8" style="7" customWidth="1"/>
    <col min="493" max="493" width="11.25" style="7" customWidth="1"/>
    <col min="494" max="494" width="8" style="7" customWidth="1"/>
    <col min="495" max="495" width="10.875" style="7" customWidth="1"/>
    <col min="496" max="496" width="12.25" style="7" customWidth="1"/>
    <col min="497" max="497" width="8" style="7" customWidth="1"/>
    <col min="498" max="498" width="11.875" style="7" customWidth="1"/>
    <col min="499" max="499" width="8" style="7" customWidth="1"/>
    <col min="500" max="500" width="11" style="7" customWidth="1"/>
    <col min="501" max="501" width="12.25" style="7" customWidth="1"/>
    <col min="502" max="502" width="8" style="7" customWidth="1"/>
    <col min="503" max="503" width="11.875" style="7" customWidth="1"/>
    <col min="504" max="504" width="8" style="7" customWidth="1"/>
    <col min="505" max="505" width="12.25" style="7" customWidth="1"/>
    <col min="506" max="506" width="14.25" style="7" customWidth="1"/>
    <col min="507" max="507" width="8" style="7" customWidth="1"/>
    <col min="508" max="508" width="14" style="7" customWidth="1"/>
    <col min="509" max="509" width="8.875" style="7" customWidth="1"/>
    <col min="510" max="510" width="15.25" style="7" customWidth="1"/>
    <col min="511" max="511" width="16.375" style="7" customWidth="1"/>
    <col min="512" max="512" width="8.875" style="7" customWidth="1"/>
    <col min="513" max="513" width="9.625" style="7" customWidth="1"/>
    <col min="514" max="514" width="8.75" style="7" customWidth="1"/>
    <col min="515" max="515" width="12.375" style="7" customWidth="1"/>
    <col min="516" max="516" width="8.75" style="7" customWidth="1"/>
    <col min="517" max="517" width="11.5" style="7" customWidth="1"/>
    <col min="518" max="518" width="6.625" style="7" customWidth="1"/>
    <col min="519" max="519" width="11.25" style="7" customWidth="1"/>
    <col min="520" max="737" width="9" style="7" customWidth="1"/>
    <col min="738" max="738" width="9.625" style="7" customWidth="1"/>
    <col min="739" max="739" width="7.625" style="7" customWidth="1"/>
    <col min="740" max="740" width="18.5" style="7" customWidth="1"/>
    <col min="741" max="741" width="6.625" style="7" customWidth="1"/>
    <col min="742" max="742" width="12.25" style="7" customWidth="1"/>
    <col min="743" max="743" width="8" style="7" customWidth="1"/>
    <col min="744" max="744" width="10.625" style="7" customWidth="1"/>
    <col min="745" max="745" width="8" style="7" customWidth="1"/>
    <col min="746" max="746" width="11.375" style="7" customWidth="1"/>
    <col min="747" max="747" width="11.5" style="7" customWidth="1"/>
    <col min="748" max="748" width="8" style="7" customWidth="1"/>
    <col min="749" max="749" width="11.25" style="7" customWidth="1"/>
    <col min="750" max="750" width="8" style="7" customWidth="1"/>
    <col min="751" max="751" width="10.875" style="7" customWidth="1"/>
    <col min="752" max="752" width="12.25" style="7" customWidth="1"/>
    <col min="753" max="753" width="8" style="7" customWidth="1"/>
    <col min="754" max="754" width="11.875" style="7" customWidth="1"/>
    <col min="755" max="755" width="8" style="7" customWidth="1"/>
    <col min="756" max="756" width="11" style="7" customWidth="1"/>
    <col min="757" max="757" width="12.25" style="7" customWidth="1"/>
    <col min="758" max="758" width="8" style="7" customWidth="1"/>
    <col min="759" max="759" width="11.875" style="7" customWidth="1"/>
    <col min="760" max="760" width="8" style="7" customWidth="1"/>
    <col min="761" max="761" width="12.25" style="7" customWidth="1"/>
    <col min="762" max="762" width="14.25" style="7" customWidth="1"/>
    <col min="763" max="763" width="8" style="7" customWidth="1"/>
    <col min="764" max="764" width="14" style="7" customWidth="1"/>
    <col min="765" max="765" width="8.875" style="7" customWidth="1"/>
    <col min="766" max="766" width="15.25" style="7" customWidth="1"/>
    <col min="767" max="767" width="16.375" style="7" customWidth="1"/>
    <col min="768" max="768" width="8.875" style="7" customWidth="1"/>
    <col min="769" max="769" width="9.625" style="7" customWidth="1"/>
    <col min="770" max="770" width="8.75" style="7" customWidth="1"/>
    <col min="771" max="771" width="12.375" style="7" customWidth="1"/>
    <col min="772" max="772" width="8.75" style="7" customWidth="1"/>
    <col min="773" max="773" width="11.5" style="7" customWidth="1"/>
    <col min="774" max="774" width="6.625" style="7" customWidth="1"/>
    <col min="775" max="775" width="11.25" style="7" customWidth="1"/>
    <col min="776" max="993" width="9" style="7" customWidth="1"/>
    <col min="994" max="994" width="9.625" style="7" customWidth="1"/>
    <col min="995" max="995" width="7.625" style="7" customWidth="1"/>
    <col min="996" max="996" width="18.5" style="7" customWidth="1"/>
    <col min="997" max="997" width="6.625" style="7" customWidth="1"/>
    <col min="998" max="998" width="12.25" style="7" customWidth="1"/>
    <col min="999" max="999" width="8" style="7" customWidth="1"/>
    <col min="1000" max="1000" width="10.625" style="7" customWidth="1"/>
    <col min="1001" max="1001" width="8" style="7" customWidth="1"/>
    <col min="1002" max="1002" width="11.375" style="7" customWidth="1"/>
    <col min="1003" max="1003" width="11.5" style="7" customWidth="1"/>
    <col min="1004" max="1004" width="8" style="7" customWidth="1"/>
    <col min="1005" max="1005" width="11.25" style="7" customWidth="1"/>
    <col min="1006" max="1006" width="8" style="7" customWidth="1"/>
    <col min="1007" max="1007" width="10.875" style="7" customWidth="1"/>
    <col min="1008" max="1008" width="12.25" style="7" customWidth="1"/>
    <col min="1009" max="1009" width="8" style="7" customWidth="1"/>
    <col min="1010" max="1010" width="11.875" style="7" customWidth="1"/>
    <col min="1011" max="1011" width="8" style="7" customWidth="1"/>
    <col min="1012" max="1012" width="11" style="7" customWidth="1"/>
    <col min="1013" max="1013" width="12.25" style="7" customWidth="1"/>
    <col min="1014" max="1014" width="8" style="7" customWidth="1"/>
    <col min="1015" max="1015" width="11.875" style="7" customWidth="1"/>
    <col min="1016" max="1016" width="8" style="7" customWidth="1"/>
    <col min="1017" max="1017" width="12.25" style="7" customWidth="1"/>
    <col min="1018" max="1018" width="14.25" style="7" customWidth="1"/>
    <col min="1019" max="1019" width="8" style="7" customWidth="1"/>
    <col min="1020" max="1020" width="14" style="7" customWidth="1"/>
    <col min="1021" max="1021" width="8.875" style="7" customWidth="1"/>
    <col min="1022" max="1022" width="15.25" style="7" customWidth="1"/>
    <col min="1023" max="1023" width="16.375" style="7" customWidth="1"/>
    <col min="1024" max="1024" width="8.875" style="7" customWidth="1"/>
    <col min="1025" max="1025" width="9.625" style="7" customWidth="1"/>
    <col min="1026" max="1026" width="8.75" style="7" customWidth="1"/>
    <col min="1027" max="1027" width="12.375" style="7" customWidth="1"/>
    <col min="1028" max="1028" width="8.75" style="7" customWidth="1"/>
    <col min="1029" max="1029" width="11.5" style="7" customWidth="1"/>
    <col min="1030" max="1030" width="6.625" style="7" customWidth="1"/>
    <col min="1031" max="1031" width="11.25" style="7" customWidth="1"/>
    <col min="1032" max="1249" width="9" style="7" customWidth="1"/>
    <col min="1250" max="1250" width="9.625" style="7" customWidth="1"/>
    <col min="1251" max="1251" width="7.625" style="7" customWidth="1"/>
    <col min="1252" max="1252" width="18.5" style="7" customWidth="1"/>
    <col min="1253" max="1253" width="6.625" style="7" customWidth="1"/>
    <col min="1254" max="1254" width="12.25" style="7" customWidth="1"/>
    <col min="1255" max="1255" width="8" style="7" customWidth="1"/>
    <col min="1256" max="1256" width="10.625" style="7" customWidth="1"/>
    <col min="1257" max="1257" width="8" style="7" customWidth="1"/>
    <col min="1258" max="1258" width="11.375" style="7" customWidth="1"/>
    <col min="1259" max="1259" width="11.5" style="7" customWidth="1"/>
    <col min="1260" max="1260" width="8" style="7" customWidth="1"/>
    <col min="1261" max="1261" width="11.25" style="7" customWidth="1"/>
    <col min="1262" max="1262" width="8" style="7" customWidth="1"/>
    <col min="1263" max="1263" width="10.875" style="7" customWidth="1"/>
    <col min="1264" max="1264" width="12.25" style="7" customWidth="1"/>
    <col min="1265" max="1265" width="8" style="7" customWidth="1"/>
    <col min="1266" max="1266" width="11.875" style="7" customWidth="1"/>
    <col min="1267" max="1267" width="8" style="7" customWidth="1"/>
    <col min="1268" max="1268" width="11" style="7" customWidth="1"/>
    <col min="1269" max="1269" width="12.25" style="7" customWidth="1"/>
    <col min="1270" max="1270" width="8" style="7" customWidth="1"/>
    <col min="1271" max="1271" width="11.875" style="7" customWidth="1"/>
    <col min="1272" max="1272" width="8" style="7" customWidth="1"/>
    <col min="1273" max="1273" width="12.25" style="7" customWidth="1"/>
    <col min="1274" max="1274" width="14.25" style="7" customWidth="1"/>
    <col min="1275" max="1275" width="8" style="7" customWidth="1"/>
    <col min="1276" max="1276" width="14" style="7" customWidth="1"/>
    <col min="1277" max="1277" width="8.875" style="7" customWidth="1"/>
    <col min="1278" max="1278" width="15.25" style="7" customWidth="1"/>
    <col min="1279" max="1279" width="16.375" style="7" customWidth="1"/>
    <col min="1280" max="1280" width="8.875" style="7" customWidth="1"/>
    <col min="1281" max="1281" width="9.625" style="7" customWidth="1"/>
    <col min="1282" max="1282" width="8.75" style="7" customWidth="1"/>
    <col min="1283" max="1283" width="12.375" style="7" customWidth="1"/>
    <col min="1284" max="1284" width="8.75" style="7" customWidth="1"/>
    <col min="1285" max="1285" width="11.5" style="7" customWidth="1"/>
    <col min="1286" max="1286" width="6.625" style="7" customWidth="1"/>
    <col min="1287" max="1287" width="11.25" style="7" customWidth="1"/>
    <col min="1288" max="1505" width="9" style="7" customWidth="1"/>
    <col min="1506" max="1506" width="9.625" style="7" customWidth="1"/>
    <col min="1507" max="1507" width="7.625" style="7" customWidth="1"/>
    <col min="1508" max="1508" width="18.5" style="7" customWidth="1"/>
    <col min="1509" max="1509" width="6.625" style="7" customWidth="1"/>
    <col min="1510" max="1510" width="12.25" style="7" customWidth="1"/>
    <col min="1511" max="1511" width="8" style="7" customWidth="1"/>
    <col min="1512" max="1512" width="10.625" style="7" customWidth="1"/>
    <col min="1513" max="1513" width="8" style="7" customWidth="1"/>
    <col min="1514" max="1514" width="11.375" style="7" customWidth="1"/>
    <col min="1515" max="1515" width="11.5" style="7" customWidth="1"/>
    <col min="1516" max="1516" width="8" style="7" customWidth="1"/>
    <col min="1517" max="1517" width="11.25" style="7" customWidth="1"/>
    <col min="1518" max="1518" width="8" style="7" customWidth="1"/>
    <col min="1519" max="1519" width="10.875" style="7" customWidth="1"/>
    <col min="1520" max="1520" width="12.25" style="7" customWidth="1"/>
    <col min="1521" max="1521" width="8" style="7" customWidth="1"/>
    <col min="1522" max="1522" width="11.875" style="7" customWidth="1"/>
    <col min="1523" max="1523" width="8" style="7" customWidth="1"/>
    <col min="1524" max="1524" width="11" style="7" customWidth="1"/>
    <col min="1525" max="1525" width="12.25" style="7" customWidth="1"/>
    <col min="1526" max="1526" width="8" style="7" customWidth="1"/>
    <col min="1527" max="1527" width="11.875" style="7" customWidth="1"/>
    <col min="1528" max="1528" width="8" style="7" customWidth="1"/>
    <col min="1529" max="1529" width="12.25" style="7" customWidth="1"/>
    <col min="1530" max="1530" width="14.25" style="7" customWidth="1"/>
    <col min="1531" max="1531" width="8" style="7" customWidth="1"/>
    <col min="1532" max="1532" width="14" style="7" customWidth="1"/>
    <col min="1533" max="1533" width="8.875" style="7" customWidth="1"/>
    <col min="1534" max="1534" width="15.25" style="7" customWidth="1"/>
    <col min="1535" max="1535" width="16.375" style="7" customWidth="1"/>
    <col min="1536" max="1536" width="8.875" style="7" customWidth="1"/>
    <col min="1537" max="1537" width="9.625" style="7" customWidth="1"/>
    <col min="1538" max="1538" width="8.75" style="7" customWidth="1"/>
    <col min="1539" max="1539" width="12.375" style="7" customWidth="1"/>
    <col min="1540" max="1540" width="8.75" style="7" customWidth="1"/>
    <col min="1541" max="1541" width="11.5" style="7" customWidth="1"/>
    <col min="1542" max="1542" width="6.625" style="7" customWidth="1"/>
    <col min="1543" max="1543" width="11.25" style="7" customWidth="1"/>
    <col min="1544" max="1761" width="9" style="7" customWidth="1"/>
    <col min="1762" max="1762" width="9.625" style="7" customWidth="1"/>
    <col min="1763" max="1763" width="7.625" style="7" customWidth="1"/>
    <col min="1764" max="1764" width="18.5" style="7" customWidth="1"/>
    <col min="1765" max="1765" width="6.625" style="7" customWidth="1"/>
    <col min="1766" max="1766" width="12.25" style="7" customWidth="1"/>
    <col min="1767" max="1767" width="8" style="7" customWidth="1"/>
    <col min="1768" max="1768" width="10.625" style="7" customWidth="1"/>
    <col min="1769" max="1769" width="8" style="7" customWidth="1"/>
    <col min="1770" max="1770" width="11.375" style="7" customWidth="1"/>
    <col min="1771" max="1771" width="11.5" style="7" customWidth="1"/>
    <col min="1772" max="1772" width="8" style="7" customWidth="1"/>
    <col min="1773" max="1773" width="11.25" style="7" customWidth="1"/>
    <col min="1774" max="1774" width="8" style="7" customWidth="1"/>
    <col min="1775" max="1775" width="10.875" style="7" customWidth="1"/>
    <col min="1776" max="1776" width="12.25" style="7" customWidth="1"/>
    <col min="1777" max="1777" width="8" style="7" customWidth="1"/>
    <col min="1778" max="1778" width="11.875" style="7" customWidth="1"/>
    <col min="1779" max="1779" width="8" style="7" customWidth="1"/>
    <col min="1780" max="1780" width="11" style="7" customWidth="1"/>
    <col min="1781" max="1781" width="12.25" style="7" customWidth="1"/>
    <col min="1782" max="1782" width="8" style="7" customWidth="1"/>
    <col min="1783" max="1783" width="11.875" style="7" customWidth="1"/>
    <col min="1784" max="1784" width="8" style="7" customWidth="1"/>
    <col min="1785" max="1785" width="12.25" style="7" customWidth="1"/>
    <col min="1786" max="1786" width="14.25" style="7" customWidth="1"/>
    <col min="1787" max="1787" width="8" style="7" customWidth="1"/>
    <col min="1788" max="1788" width="14" style="7" customWidth="1"/>
    <col min="1789" max="1789" width="8.875" style="7" customWidth="1"/>
    <col min="1790" max="1790" width="15.25" style="7" customWidth="1"/>
    <col min="1791" max="1791" width="16.375" style="7" customWidth="1"/>
    <col min="1792" max="1792" width="8.875" style="7" customWidth="1"/>
    <col min="1793" max="1793" width="9.625" style="7" customWidth="1"/>
    <col min="1794" max="1794" width="8.75" style="7" customWidth="1"/>
    <col min="1795" max="1795" width="12.375" style="7" customWidth="1"/>
    <col min="1796" max="1796" width="8.75" style="7" customWidth="1"/>
    <col min="1797" max="1797" width="11.5" style="7" customWidth="1"/>
    <col min="1798" max="1798" width="6.625" style="7" customWidth="1"/>
    <col min="1799" max="1799" width="11.25" style="7" customWidth="1"/>
    <col min="1800" max="2017" width="9" style="7" customWidth="1"/>
    <col min="2018" max="2018" width="9.625" style="7" customWidth="1"/>
    <col min="2019" max="2019" width="7.625" style="7" customWidth="1"/>
    <col min="2020" max="2020" width="18.5" style="7" customWidth="1"/>
    <col min="2021" max="2021" width="6.625" style="7" customWidth="1"/>
    <col min="2022" max="2022" width="12.25" style="7" customWidth="1"/>
    <col min="2023" max="2023" width="8" style="7" customWidth="1"/>
    <col min="2024" max="2024" width="10.625" style="7" customWidth="1"/>
    <col min="2025" max="2025" width="8" style="7" customWidth="1"/>
    <col min="2026" max="2026" width="11.375" style="7" customWidth="1"/>
    <col min="2027" max="2027" width="11.5" style="7" customWidth="1"/>
    <col min="2028" max="2028" width="8" style="7" customWidth="1"/>
    <col min="2029" max="2029" width="11.25" style="7" customWidth="1"/>
    <col min="2030" max="2030" width="8" style="7" customWidth="1"/>
    <col min="2031" max="2031" width="10.875" style="7" customWidth="1"/>
    <col min="2032" max="2032" width="12.25" style="7" customWidth="1"/>
    <col min="2033" max="2033" width="8" style="7" customWidth="1"/>
    <col min="2034" max="2034" width="11.875" style="7" customWidth="1"/>
    <col min="2035" max="2035" width="8" style="7" customWidth="1"/>
    <col min="2036" max="2036" width="11" style="7" customWidth="1"/>
    <col min="2037" max="2037" width="12.25" style="7" customWidth="1"/>
    <col min="2038" max="2038" width="8" style="7" customWidth="1"/>
    <col min="2039" max="2039" width="11.875" style="7" customWidth="1"/>
    <col min="2040" max="2040" width="8" style="7" customWidth="1"/>
    <col min="2041" max="2041" width="12.25" style="7" customWidth="1"/>
    <col min="2042" max="2042" width="14.25" style="7" customWidth="1"/>
    <col min="2043" max="2043" width="8" style="7" customWidth="1"/>
    <col min="2044" max="2044" width="14" style="7" customWidth="1"/>
    <col min="2045" max="2045" width="8.875" style="7" customWidth="1"/>
    <col min="2046" max="2046" width="15.25" style="7" customWidth="1"/>
    <col min="2047" max="2047" width="16.375" style="7" customWidth="1"/>
    <col min="2048" max="2048" width="8.875" style="7" customWidth="1"/>
    <col min="2049" max="2049" width="9.625" style="7" customWidth="1"/>
    <col min="2050" max="2050" width="8.75" style="7" customWidth="1"/>
    <col min="2051" max="2051" width="12.375" style="7" customWidth="1"/>
    <col min="2052" max="2052" width="8.75" style="7" customWidth="1"/>
    <col min="2053" max="2053" width="11.5" style="7" customWidth="1"/>
    <col min="2054" max="2054" width="6.625" style="7" customWidth="1"/>
    <col min="2055" max="2055" width="11.25" style="7" customWidth="1"/>
    <col min="2056" max="2273" width="9" style="7" customWidth="1"/>
    <col min="2274" max="2274" width="9.625" style="7" customWidth="1"/>
    <col min="2275" max="2275" width="7.625" style="7" customWidth="1"/>
    <col min="2276" max="2276" width="18.5" style="7" customWidth="1"/>
    <col min="2277" max="2277" width="6.625" style="7" customWidth="1"/>
    <col min="2278" max="2278" width="12.25" style="7" customWidth="1"/>
    <col min="2279" max="2279" width="8" style="7" customWidth="1"/>
    <col min="2280" max="2280" width="10.625" style="7" customWidth="1"/>
    <col min="2281" max="2281" width="8" style="7" customWidth="1"/>
    <col min="2282" max="2282" width="11.375" style="7" customWidth="1"/>
    <col min="2283" max="2283" width="11.5" style="7" customWidth="1"/>
    <col min="2284" max="2284" width="8" style="7" customWidth="1"/>
    <col min="2285" max="2285" width="11.25" style="7" customWidth="1"/>
    <col min="2286" max="2286" width="8" style="7" customWidth="1"/>
    <col min="2287" max="2287" width="10.875" style="7" customWidth="1"/>
    <col min="2288" max="2288" width="12.25" style="7" customWidth="1"/>
    <col min="2289" max="2289" width="8" style="7" customWidth="1"/>
    <col min="2290" max="2290" width="11.875" style="7" customWidth="1"/>
    <col min="2291" max="2291" width="8" style="7" customWidth="1"/>
    <col min="2292" max="2292" width="11" style="7" customWidth="1"/>
    <col min="2293" max="2293" width="12.25" style="7" customWidth="1"/>
    <col min="2294" max="2294" width="8" style="7" customWidth="1"/>
    <col min="2295" max="2295" width="11.875" style="7" customWidth="1"/>
    <col min="2296" max="2296" width="8" style="7" customWidth="1"/>
    <col min="2297" max="2297" width="12.25" style="7" customWidth="1"/>
    <col min="2298" max="2298" width="14.25" style="7" customWidth="1"/>
    <col min="2299" max="2299" width="8" style="7" customWidth="1"/>
    <col min="2300" max="2300" width="14" style="7" customWidth="1"/>
    <col min="2301" max="2301" width="8.875" style="7" customWidth="1"/>
    <col min="2302" max="2302" width="15.25" style="7" customWidth="1"/>
    <col min="2303" max="2303" width="16.375" style="7" customWidth="1"/>
    <col min="2304" max="2304" width="8.875" style="7" customWidth="1"/>
    <col min="2305" max="2305" width="9.625" style="7" customWidth="1"/>
    <col min="2306" max="2306" width="8.75" style="7" customWidth="1"/>
    <col min="2307" max="2307" width="12.375" style="7" customWidth="1"/>
    <col min="2308" max="2308" width="8.75" style="7" customWidth="1"/>
    <col min="2309" max="2309" width="11.5" style="7" customWidth="1"/>
    <col min="2310" max="2310" width="6.625" style="7" customWidth="1"/>
    <col min="2311" max="2311" width="11.25" style="7" customWidth="1"/>
    <col min="2312" max="2529" width="9" style="7" customWidth="1"/>
    <col min="2530" max="2530" width="9.625" style="7" customWidth="1"/>
    <col min="2531" max="2531" width="7.625" style="7" customWidth="1"/>
    <col min="2532" max="2532" width="18.5" style="7" customWidth="1"/>
    <col min="2533" max="2533" width="6.625" style="7" customWidth="1"/>
    <col min="2534" max="2534" width="12.25" style="7" customWidth="1"/>
    <col min="2535" max="2535" width="8" style="7" customWidth="1"/>
    <col min="2536" max="2536" width="10.625" style="7" customWidth="1"/>
    <col min="2537" max="2537" width="8" style="7" customWidth="1"/>
    <col min="2538" max="2538" width="11.375" style="7" customWidth="1"/>
    <col min="2539" max="2539" width="11.5" style="7" customWidth="1"/>
    <col min="2540" max="2540" width="8" style="7" customWidth="1"/>
    <col min="2541" max="2541" width="11.25" style="7" customWidth="1"/>
    <col min="2542" max="2542" width="8" style="7" customWidth="1"/>
    <col min="2543" max="2543" width="10.875" style="7" customWidth="1"/>
    <col min="2544" max="2544" width="12.25" style="7" customWidth="1"/>
    <col min="2545" max="2545" width="8" style="7" customWidth="1"/>
    <col min="2546" max="2546" width="11.875" style="7" customWidth="1"/>
    <col min="2547" max="2547" width="8" style="7" customWidth="1"/>
    <col min="2548" max="2548" width="11" style="7" customWidth="1"/>
    <col min="2549" max="2549" width="12.25" style="7" customWidth="1"/>
    <col min="2550" max="2550" width="8" style="7" customWidth="1"/>
    <col min="2551" max="2551" width="11.875" style="7" customWidth="1"/>
    <col min="2552" max="2552" width="8" style="7" customWidth="1"/>
    <col min="2553" max="2553" width="12.25" style="7" customWidth="1"/>
    <col min="2554" max="2554" width="14.25" style="7" customWidth="1"/>
    <col min="2555" max="2555" width="8" style="7" customWidth="1"/>
    <col min="2556" max="2556" width="14" style="7" customWidth="1"/>
    <col min="2557" max="2557" width="8.875" style="7" customWidth="1"/>
    <col min="2558" max="2558" width="15.25" style="7" customWidth="1"/>
    <col min="2559" max="2559" width="16.375" style="7" customWidth="1"/>
    <col min="2560" max="2560" width="8.875" style="7" customWidth="1"/>
    <col min="2561" max="2561" width="9.625" style="7" customWidth="1"/>
    <col min="2562" max="2562" width="8.75" style="7" customWidth="1"/>
    <col min="2563" max="2563" width="12.375" style="7" customWidth="1"/>
    <col min="2564" max="2564" width="8.75" style="7" customWidth="1"/>
    <col min="2565" max="2565" width="11.5" style="7" customWidth="1"/>
    <col min="2566" max="2566" width="6.625" style="7" customWidth="1"/>
    <col min="2567" max="2567" width="11.25" style="7" customWidth="1"/>
    <col min="2568" max="2785" width="9" style="7" customWidth="1"/>
    <col min="2786" max="2786" width="9.625" style="7" customWidth="1"/>
    <col min="2787" max="2787" width="7.625" style="7" customWidth="1"/>
    <col min="2788" max="2788" width="18.5" style="7" customWidth="1"/>
    <col min="2789" max="2789" width="6.625" style="7" customWidth="1"/>
    <col min="2790" max="2790" width="12.25" style="7" customWidth="1"/>
    <col min="2791" max="2791" width="8" style="7" customWidth="1"/>
    <col min="2792" max="2792" width="10.625" style="7" customWidth="1"/>
    <col min="2793" max="2793" width="8" style="7" customWidth="1"/>
    <col min="2794" max="2794" width="11.375" style="7" customWidth="1"/>
    <col min="2795" max="2795" width="11.5" style="7" customWidth="1"/>
    <col min="2796" max="2796" width="8" style="7" customWidth="1"/>
    <col min="2797" max="2797" width="11.25" style="7" customWidth="1"/>
    <col min="2798" max="2798" width="8" style="7" customWidth="1"/>
    <col min="2799" max="2799" width="10.875" style="7" customWidth="1"/>
    <col min="2800" max="2800" width="12.25" style="7" customWidth="1"/>
    <col min="2801" max="2801" width="8" style="7" customWidth="1"/>
    <col min="2802" max="2802" width="11.875" style="7" customWidth="1"/>
    <col min="2803" max="2803" width="8" style="7" customWidth="1"/>
    <col min="2804" max="2804" width="11" style="7" customWidth="1"/>
    <col min="2805" max="2805" width="12.25" style="7" customWidth="1"/>
    <col min="2806" max="2806" width="8" style="7" customWidth="1"/>
    <col min="2807" max="2807" width="11.875" style="7" customWidth="1"/>
    <col min="2808" max="2808" width="8" style="7" customWidth="1"/>
    <col min="2809" max="2809" width="12.25" style="7" customWidth="1"/>
    <col min="2810" max="2810" width="14.25" style="7" customWidth="1"/>
    <col min="2811" max="2811" width="8" style="7" customWidth="1"/>
    <col min="2812" max="2812" width="14" style="7" customWidth="1"/>
    <col min="2813" max="2813" width="8.875" style="7" customWidth="1"/>
    <col min="2814" max="2814" width="15.25" style="7" customWidth="1"/>
    <col min="2815" max="2815" width="16.375" style="7" customWidth="1"/>
    <col min="2816" max="2816" width="8.875" style="7" customWidth="1"/>
    <col min="2817" max="2817" width="9.625" style="7" customWidth="1"/>
    <col min="2818" max="2818" width="8.75" style="7" customWidth="1"/>
    <col min="2819" max="2819" width="12.375" style="7" customWidth="1"/>
    <col min="2820" max="2820" width="8.75" style="7" customWidth="1"/>
    <col min="2821" max="2821" width="11.5" style="7" customWidth="1"/>
    <col min="2822" max="2822" width="6.625" style="7" customWidth="1"/>
    <col min="2823" max="2823" width="11.25" style="7" customWidth="1"/>
    <col min="2824" max="3041" width="9" style="7" customWidth="1"/>
    <col min="3042" max="3042" width="9.625" style="7" customWidth="1"/>
    <col min="3043" max="3043" width="7.625" style="7" customWidth="1"/>
    <col min="3044" max="3044" width="18.5" style="7" customWidth="1"/>
    <col min="3045" max="3045" width="6.625" style="7" customWidth="1"/>
    <col min="3046" max="3046" width="12.25" style="7" customWidth="1"/>
    <col min="3047" max="3047" width="8" style="7" customWidth="1"/>
    <col min="3048" max="3048" width="10.625" style="7" customWidth="1"/>
    <col min="3049" max="3049" width="8" style="7" customWidth="1"/>
    <col min="3050" max="3050" width="11.375" style="7" customWidth="1"/>
    <col min="3051" max="3051" width="11.5" style="7" customWidth="1"/>
    <col min="3052" max="3052" width="8" style="7" customWidth="1"/>
    <col min="3053" max="3053" width="11.25" style="7" customWidth="1"/>
    <col min="3054" max="3054" width="8" style="7" customWidth="1"/>
    <col min="3055" max="3055" width="10.875" style="7" customWidth="1"/>
    <col min="3056" max="3056" width="12.25" style="7" customWidth="1"/>
    <col min="3057" max="3057" width="8" style="7" customWidth="1"/>
    <col min="3058" max="3058" width="11.875" style="7" customWidth="1"/>
    <col min="3059" max="3059" width="8" style="7" customWidth="1"/>
    <col min="3060" max="3060" width="11" style="7" customWidth="1"/>
    <col min="3061" max="3061" width="12.25" style="7" customWidth="1"/>
    <col min="3062" max="3062" width="8" style="7" customWidth="1"/>
    <col min="3063" max="3063" width="11.875" style="7" customWidth="1"/>
    <col min="3064" max="3064" width="8" style="7" customWidth="1"/>
    <col min="3065" max="3065" width="12.25" style="7" customWidth="1"/>
    <col min="3066" max="3066" width="14.25" style="7" customWidth="1"/>
    <col min="3067" max="3067" width="8" style="7" customWidth="1"/>
    <col min="3068" max="3068" width="14" style="7" customWidth="1"/>
    <col min="3069" max="3069" width="8.875" style="7" customWidth="1"/>
    <col min="3070" max="3070" width="15.25" style="7" customWidth="1"/>
    <col min="3071" max="3071" width="16.375" style="7" customWidth="1"/>
    <col min="3072" max="3072" width="8.875" style="7" customWidth="1"/>
    <col min="3073" max="3073" width="9.625" style="7" customWidth="1"/>
    <col min="3074" max="3074" width="8.75" style="7" customWidth="1"/>
    <col min="3075" max="3075" width="12.375" style="7" customWidth="1"/>
    <col min="3076" max="3076" width="8.75" style="7" customWidth="1"/>
    <col min="3077" max="3077" width="11.5" style="7" customWidth="1"/>
    <col min="3078" max="3078" width="6.625" style="7" customWidth="1"/>
    <col min="3079" max="3079" width="11.25" style="7" customWidth="1"/>
    <col min="3080" max="3297" width="9" style="7" customWidth="1"/>
    <col min="3298" max="3298" width="9.625" style="7" customWidth="1"/>
    <col min="3299" max="3299" width="7.625" style="7" customWidth="1"/>
    <col min="3300" max="3300" width="18.5" style="7" customWidth="1"/>
    <col min="3301" max="3301" width="6.625" style="7" customWidth="1"/>
    <col min="3302" max="3302" width="12.25" style="7" customWidth="1"/>
    <col min="3303" max="3303" width="8" style="7" customWidth="1"/>
    <col min="3304" max="3304" width="10.625" style="7" customWidth="1"/>
    <col min="3305" max="3305" width="8" style="7" customWidth="1"/>
    <col min="3306" max="3306" width="11.375" style="7" customWidth="1"/>
    <col min="3307" max="3307" width="11.5" style="7" customWidth="1"/>
    <col min="3308" max="3308" width="8" style="7" customWidth="1"/>
    <col min="3309" max="3309" width="11.25" style="7" customWidth="1"/>
    <col min="3310" max="3310" width="8" style="7" customWidth="1"/>
    <col min="3311" max="3311" width="10.875" style="7" customWidth="1"/>
    <col min="3312" max="3312" width="12.25" style="7" customWidth="1"/>
    <col min="3313" max="3313" width="8" style="7" customWidth="1"/>
    <col min="3314" max="3314" width="11.875" style="7" customWidth="1"/>
    <col min="3315" max="3315" width="8" style="7" customWidth="1"/>
    <col min="3316" max="3316" width="11" style="7" customWidth="1"/>
    <col min="3317" max="3317" width="12.25" style="7" customWidth="1"/>
    <col min="3318" max="3318" width="8" style="7" customWidth="1"/>
    <col min="3319" max="3319" width="11.875" style="7" customWidth="1"/>
    <col min="3320" max="3320" width="8" style="7" customWidth="1"/>
    <col min="3321" max="3321" width="12.25" style="7" customWidth="1"/>
    <col min="3322" max="3322" width="14.25" style="7" customWidth="1"/>
    <col min="3323" max="3323" width="8" style="7" customWidth="1"/>
    <col min="3324" max="3324" width="14" style="7" customWidth="1"/>
    <col min="3325" max="3325" width="8.875" style="7" customWidth="1"/>
    <col min="3326" max="3326" width="15.25" style="7" customWidth="1"/>
    <col min="3327" max="3327" width="16.375" style="7" customWidth="1"/>
    <col min="3328" max="3328" width="8.875" style="7" customWidth="1"/>
    <col min="3329" max="3329" width="9.625" style="7" customWidth="1"/>
    <col min="3330" max="3330" width="8.75" style="7" customWidth="1"/>
    <col min="3331" max="3331" width="12.375" style="7" customWidth="1"/>
    <col min="3332" max="3332" width="8.75" style="7" customWidth="1"/>
    <col min="3333" max="3333" width="11.5" style="7" customWidth="1"/>
    <col min="3334" max="3334" width="6.625" style="7" customWidth="1"/>
    <col min="3335" max="3335" width="11.25" style="7" customWidth="1"/>
    <col min="3336" max="3553" width="9" style="7" customWidth="1"/>
    <col min="3554" max="3554" width="9.625" style="7" customWidth="1"/>
    <col min="3555" max="3555" width="7.625" style="7" customWidth="1"/>
    <col min="3556" max="3556" width="18.5" style="7" customWidth="1"/>
    <col min="3557" max="3557" width="6.625" style="7" customWidth="1"/>
    <col min="3558" max="3558" width="12.25" style="7" customWidth="1"/>
    <col min="3559" max="3559" width="8" style="7" customWidth="1"/>
    <col min="3560" max="3560" width="10.625" style="7" customWidth="1"/>
    <col min="3561" max="3561" width="8" style="7" customWidth="1"/>
    <col min="3562" max="3562" width="11.375" style="7" customWidth="1"/>
    <col min="3563" max="3563" width="11.5" style="7" customWidth="1"/>
    <col min="3564" max="3564" width="8" style="7" customWidth="1"/>
    <col min="3565" max="3565" width="11.25" style="7" customWidth="1"/>
    <col min="3566" max="3566" width="8" style="7" customWidth="1"/>
    <col min="3567" max="3567" width="10.875" style="7" customWidth="1"/>
    <col min="3568" max="3568" width="12.25" style="7" customWidth="1"/>
    <col min="3569" max="3569" width="8" style="7" customWidth="1"/>
    <col min="3570" max="3570" width="11.875" style="7" customWidth="1"/>
    <col min="3571" max="3571" width="8" style="7" customWidth="1"/>
    <col min="3572" max="3572" width="11" style="7" customWidth="1"/>
    <col min="3573" max="3573" width="12.25" style="7" customWidth="1"/>
    <col min="3574" max="3574" width="8" style="7" customWidth="1"/>
    <col min="3575" max="3575" width="11.875" style="7" customWidth="1"/>
    <col min="3576" max="3576" width="8" style="7" customWidth="1"/>
    <col min="3577" max="3577" width="12.25" style="7" customWidth="1"/>
    <col min="3578" max="3578" width="14.25" style="7" customWidth="1"/>
    <col min="3579" max="3579" width="8" style="7" customWidth="1"/>
    <col min="3580" max="3580" width="14" style="7" customWidth="1"/>
    <col min="3581" max="3581" width="8.875" style="7" customWidth="1"/>
    <col min="3582" max="3582" width="15.25" style="7" customWidth="1"/>
    <col min="3583" max="3583" width="16.375" style="7" customWidth="1"/>
    <col min="3584" max="3584" width="8.875" style="7" customWidth="1"/>
    <col min="3585" max="3585" width="9.625" style="7" customWidth="1"/>
    <col min="3586" max="3586" width="8.75" style="7" customWidth="1"/>
    <col min="3587" max="3587" width="12.375" style="7" customWidth="1"/>
    <col min="3588" max="3588" width="8.75" style="7" customWidth="1"/>
    <col min="3589" max="3589" width="11.5" style="7" customWidth="1"/>
    <col min="3590" max="3590" width="6.625" style="7" customWidth="1"/>
    <col min="3591" max="3591" width="11.25" style="7" customWidth="1"/>
    <col min="3592" max="3809" width="9" style="7" customWidth="1"/>
    <col min="3810" max="3810" width="9.625" style="7" customWidth="1"/>
    <col min="3811" max="3811" width="7.625" style="7" customWidth="1"/>
    <col min="3812" max="3812" width="18.5" style="7" customWidth="1"/>
    <col min="3813" max="3813" width="6.625" style="7" customWidth="1"/>
    <col min="3814" max="3814" width="12.25" style="7" customWidth="1"/>
    <col min="3815" max="3815" width="8" style="7" customWidth="1"/>
    <col min="3816" max="3816" width="10.625" style="7" customWidth="1"/>
    <col min="3817" max="3817" width="8" style="7" customWidth="1"/>
    <col min="3818" max="3818" width="11.375" style="7" customWidth="1"/>
    <col min="3819" max="3819" width="11.5" style="7" customWidth="1"/>
    <col min="3820" max="3820" width="8" style="7" customWidth="1"/>
    <col min="3821" max="3821" width="11.25" style="7" customWidth="1"/>
    <col min="3822" max="3822" width="8" style="7" customWidth="1"/>
    <col min="3823" max="3823" width="10.875" style="7" customWidth="1"/>
    <col min="3824" max="3824" width="12.25" style="7" customWidth="1"/>
    <col min="3825" max="3825" width="8" style="7" customWidth="1"/>
    <col min="3826" max="3826" width="11.875" style="7" customWidth="1"/>
    <col min="3827" max="3827" width="8" style="7" customWidth="1"/>
    <col min="3828" max="3828" width="11" style="7" customWidth="1"/>
    <col min="3829" max="3829" width="12.25" style="7" customWidth="1"/>
    <col min="3830" max="3830" width="8" style="7" customWidth="1"/>
    <col min="3831" max="3831" width="11.875" style="7" customWidth="1"/>
    <col min="3832" max="3832" width="8" style="7" customWidth="1"/>
    <col min="3833" max="3833" width="12.25" style="7" customWidth="1"/>
    <col min="3834" max="3834" width="14.25" style="7" customWidth="1"/>
    <col min="3835" max="3835" width="8" style="7" customWidth="1"/>
    <col min="3836" max="3836" width="14" style="7" customWidth="1"/>
    <col min="3837" max="3837" width="8.875" style="7" customWidth="1"/>
    <col min="3838" max="3838" width="15.25" style="7" customWidth="1"/>
    <col min="3839" max="3839" width="16.375" style="7" customWidth="1"/>
    <col min="3840" max="3840" width="8.875" style="7" customWidth="1"/>
    <col min="3841" max="3841" width="9.625" style="7" customWidth="1"/>
    <col min="3842" max="3842" width="8.75" style="7" customWidth="1"/>
    <col min="3843" max="3843" width="12.375" style="7" customWidth="1"/>
    <col min="3844" max="3844" width="8.75" style="7" customWidth="1"/>
    <col min="3845" max="3845" width="11.5" style="7" customWidth="1"/>
    <col min="3846" max="3846" width="6.625" style="7" customWidth="1"/>
    <col min="3847" max="3847" width="11.25" style="7" customWidth="1"/>
    <col min="3848" max="4065" width="9" style="7" customWidth="1"/>
    <col min="4066" max="4066" width="9.625" style="7" customWidth="1"/>
    <col min="4067" max="4067" width="7.625" style="7" customWidth="1"/>
    <col min="4068" max="4068" width="18.5" style="7" customWidth="1"/>
    <col min="4069" max="4069" width="6.625" style="7" customWidth="1"/>
    <col min="4070" max="4070" width="12.25" style="7" customWidth="1"/>
    <col min="4071" max="4071" width="8" style="7" customWidth="1"/>
    <col min="4072" max="4072" width="10.625" style="7" customWidth="1"/>
    <col min="4073" max="4073" width="8" style="7" customWidth="1"/>
    <col min="4074" max="4074" width="11.375" style="7" customWidth="1"/>
    <col min="4075" max="4075" width="11.5" style="7" customWidth="1"/>
    <col min="4076" max="4076" width="8" style="7" customWidth="1"/>
    <col min="4077" max="4077" width="11.25" style="7" customWidth="1"/>
    <col min="4078" max="4078" width="8" style="7" customWidth="1"/>
    <col min="4079" max="4079" width="10.875" style="7" customWidth="1"/>
    <col min="4080" max="4080" width="12.25" style="7" customWidth="1"/>
    <col min="4081" max="4081" width="8" style="7" customWidth="1"/>
    <col min="4082" max="4082" width="11.875" style="7" customWidth="1"/>
    <col min="4083" max="4083" width="8" style="7" customWidth="1"/>
    <col min="4084" max="4084" width="11" style="7" customWidth="1"/>
    <col min="4085" max="4085" width="12.25" style="7" customWidth="1"/>
    <col min="4086" max="4086" width="8" style="7" customWidth="1"/>
    <col min="4087" max="4087" width="11.875" style="7" customWidth="1"/>
    <col min="4088" max="4088" width="8" style="7" customWidth="1"/>
    <col min="4089" max="4089" width="12.25" style="7" customWidth="1"/>
    <col min="4090" max="4090" width="14.25" style="7" customWidth="1"/>
    <col min="4091" max="4091" width="8" style="7" customWidth="1"/>
    <col min="4092" max="4092" width="14" style="7" customWidth="1"/>
    <col min="4093" max="4093" width="8.875" style="7" customWidth="1"/>
    <col min="4094" max="4094" width="15.25" style="7" customWidth="1"/>
    <col min="4095" max="4095" width="16.375" style="7" customWidth="1"/>
    <col min="4096" max="4096" width="8.875" style="7" customWidth="1"/>
    <col min="4097" max="4097" width="9.625" style="7" customWidth="1"/>
    <col min="4098" max="4098" width="8.75" style="7" customWidth="1"/>
    <col min="4099" max="4099" width="12.375" style="7" customWidth="1"/>
    <col min="4100" max="4100" width="8.75" style="7" customWidth="1"/>
    <col min="4101" max="4101" width="11.5" style="7" customWidth="1"/>
    <col min="4102" max="4102" width="6.625" style="7" customWidth="1"/>
    <col min="4103" max="4103" width="11.25" style="7" customWidth="1"/>
    <col min="4104" max="4321" width="9" style="7" customWidth="1"/>
    <col min="4322" max="4322" width="9.625" style="7" customWidth="1"/>
    <col min="4323" max="4323" width="7.625" style="7" customWidth="1"/>
    <col min="4324" max="4324" width="18.5" style="7" customWidth="1"/>
    <col min="4325" max="4325" width="6.625" style="7" customWidth="1"/>
    <col min="4326" max="4326" width="12.25" style="7" customWidth="1"/>
    <col min="4327" max="4327" width="8" style="7" customWidth="1"/>
    <col min="4328" max="4328" width="10.625" style="7" customWidth="1"/>
    <col min="4329" max="4329" width="8" style="7" customWidth="1"/>
    <col min="4330" max="4330" width="11.375" style="7" customWidth="1"/>
    <col min="4331" max="4331" width="11.5" style="7" customWidth="1"/>
    <col min="4332" max="4332" width="8" style="7" customWidth="1"/>
    <col min="4333" max="4333" width="11.25" style="7" customWidth="1"/>
    <col min="4334" max="4334" width="8" style="7" customWidth="1"/>
    <col min="4335" max="4335" width="10.875" style="7" customWidth="1"/>
    <col min="4336" max="4336" width="12.25" style="7" customWidth="1"/>
    <col min="4337" max="4337" width="8" style="7" customWidth="1"/>
    <col min="4338" max="4338" width="11.875" style="7" customWidth="1"/>
    <col min="4339" max="4339" width="8" style="7" customWidth="1"/>
    <col min="4340" max="4340" width="11" style="7" customWidth="1"/>
    <col min="4341" max="4341" width="12.25" style="7" customWidth="1"/>
    <col min="4342" max="4342" width="8" style="7" customWidth="1"/>
    <col min="4343" max="4343" width="11.875" style="7" customWidth="1"/>
    <col min="4344" max="4344" width="8" style="7" customWidth="1"/>
    <col min="4345" max="4345" width="12.25" style="7" customWidth="1"/>
    <col min="4346" max="4346" width="14.25" style="7" customWidth="1"/>
    <col min="4347" max="4347" width="8" style="7" customWidth="1"/>
    <col min="4348" max="4348" width="14" style="7" customWidth="1"/>
    <col min="4349" max="4349" width="8.875" style="7" customWidth="1"/>
    <col min="4350" max="4350" width="15.25" style="7" customWidth="1"/>
    <col min="4351" max="4351" width="16.375" style="7" customWidth="1"/>
    <col min="4352" max="4352" width="8.875" style="7" customWidth="1"/>
    <col min="4353" max="4353" width="9.625" style="7" customWidth="1"/>
    <col min="4354" max="4354" width="8.75" style="7" customWidth="1"/>
    <col min="4355" max="4355" width="12.375" style="7" customWidth="1"/>
    <col min="4356" max="4356" width="8.75" style="7" customWidth="1"/>
    <col min="4357" max="4357" width="11.5" style="7" customWidth="1"/>
    <col min="4358" max="4358" width="6.625" style="7" customWidth="1"/>
    <col min="4359" max="4359" width="11.25" style="7" customWidth="1"/>
    <col min="4360" max="4577" width="9" style="7" customWidth="1"/>
    <col min="4578" max="4578" width="9.625" style="7" customWidth="1"/>
    <col min="4579" max="4579" width="7.625" style="7" customWidth="1"/>
    <col min="4580" max="4580" width="18.5" style="7" customWidth="1"/>
    <col min="4581" max="4581" width="6.625" style="7" customWidth="1"/>
    <col min="4582" max="4582" width="12.25" style="7" customWidth="1"/>
    <col min="4583" max="4583" width="8" style="7" customWidth="1"/>
    <col min="4584" max="4584" width="10.625" style="7" customWidth="1"/>
    <col min="4585" max="4585" width="8" style="7" customWidth="1"/>
    <col min="4586" max="4586" width="11.375" style="7" customWidth="1"/>
    <col min="4587" max="4587" width="11.5" style="7" customWidth="1"/>
    <col min="4588" max="4588" width="8" style="7" customWidth="1"/>
    <col min="4589" max="4589" width="11.25" style="7" customWidth="1"/>
    <col min="4590" max="4590" width="8" style="7" customWidth="1"/>
    <col min="4591" max="4591" width="10.875" style="7" customWidth="1"/>
    <col min="4592" max="4592" width="12.25" style="7" customWidth="1"/>
    <col min="4593" max="4593" width="8" style="7" customWidth="1"/>
    <col min="4594" max="4594" width="11.875" style="7" customWidth="1"/>
    <col min="4595" max="4595" width="8" style="7" customWidth="1"/>
    <col min="4596" max="4596" width="11" style="7" customWidth="1"/>
    <col min="4597" max="4597" width="12.25" style="7" customWidth="1"/>
    <col min="4598" max="4598" width="8" style="7" customWidth="1"/>
    <col min="4599" max="4599" width="11.875" style="7" customWidth="1"/>
    <col min="4600" max="4600" width="8" style="7" customWidth="1"/>
    <col min="4601" max="4601" width="12.25" style="7" customWidth="1"/>
    <col min="4602" max="4602" width="14.25" style="7" customWidth="1"/>
    <col min="4603" max="4603" width="8" style="7" customWidth="1"/>
    <col min="4604" max="4604" width="14" style="7" customWidth="1"/>
    <col min="4605" max="4605" width="8.875" style="7" customWidth="1"/>
    <col min="4606" max="4606" width="15.25" style="7" customWidth="1"/>
    <col min="4607" max="4607" width="16.375" style="7" customWidth="1"/>
    <col min="4608" max="4608" width="8.875" style="7" customWidth="1"/>
    <col min="4609" max="4609" width="9.625" style="7" customWidth="1"/>
    <col min="4610" max="4610" width="8.75" style="7" customWidth="1"/>
    <col min="4611" max="4611" width="12.375" style="7" customWidth="1"/>
    <col min="4612" max="4612" width="8.75" style="7" customWidth="1"/>
    <col min="4613" max="4613" width="11.5" style="7" customWidth="1"/>
    <col min="4614" max="4614" width="6.625" style="7" customWidth="1"/>
    <col min="4615" max="4615" width="11.25" style="7" customWidth="1"/>
    <col min="4616" max="4833" width="9" style="7" customWidth="1"/>
    <col min="4834" max="4834" width="9.625" style="7" customWidth="1"/>
    <col min="4835" max="4835" width="7.625" style="7" customWidth="1"/>
    <col min="4836" max="4836" width="18.5" style="7" customWidth="1"/>
    <col min="4837" max="4837" width="6.625" style="7" customWidth="1"/>
    <col min="4838" max="4838" width="12.25" style="7" customWidth="1"/>
    <col min="4839" max="4839" width="8" style="7" customWidth="1"/>
    <col min="4840" max="4840" width="10.625" style="7" customWidth="1"/>
    <col min="4841" max="4841" width="8" style="7" customWidth="1"/>
    <col min="4842" max="4842" width="11.375" style="7" customWidth="1"/>
    <col min="4843" max="4843" width="11.5" style="7" customWidth="1"/>
    <col min="4844" max="4844" width="8" style="7" customWidth="1"/>
    <col min="4845" max="4845" width="11.25" style="7" customWidth="1"/>
    <col min="4846" max="4846" width="8" style="7" customWidth="1"/>
    <col min="4847" max="4847" width="10.875" style="7" customWidth="1"/>
    <col min="4848" max="4848" width="12.25" style="7" customWidth="1"/>
    <col min="4849" max="4849" width="8" style="7" customWidth="1"/>
    <col min="4850" max="4850" width="11.875" style="7" customWidth="1"/>
    <col min="4851" max="4851" width="8" style="7" customWidth="1"/>
    <col min="4852" max="4852" width="11" style="7" customWidth="1"/>
    <col min="4853" max="4853" width="12.25" style="7" customWidth="1"/>
    <col min="4854" max="4854" width="8" style="7" customWidth="1"/>
    <col min="4855" max="4855" width="11.875" style="7" customWidth="1"/>
    <col min="4856" max="4856" width="8" style="7" customWidth="1"/>
    <col min="4857" max="4857" width="12.25" style="7" customWidth="1"/>
    <col min="4858" max="4858" width="14.25" style="7" customWidth="1"/>
    <col min="4859" max="4859" width="8" style="7" customWidth="1"/>
    <col min="4860" max="4860" width="14" style="7" customWidth="1"/>
    <col min="4861" max="4861" width="8.875" style="7" customWidth="1"/>
    <col min="4862" max="4862" width="15.25" style="7" customWidth="1"/>
    <col min="4863" max="4863" width="16.375" style="7" customWidth="1"/>
    <col min="4864" max="4864" width="8.875" style="7" customWidth="1"/>
    <col min="4865" max="4865" width="9.625" style="7" customWidth="1"/>
    <col min="4866" max="4866" width="8.75" style="7" customWidth="1"/>
    <col min="4867" max="4867" width="12.375" style="7" customWidth="1"/>
    <col min="4868" max="4868" width="8.75" style="7" customWidth="1"/>
    <col min="4869" max="4869" width="11.5" style="7" customWidth="1"/>
    <col min="4870" max="4870" width="6.625" style="7" customWidth="1"/>
    <col min="4871" max="4871" width="11.25" style="7" customWidth="1"/>
    <col min="4872" max="5089" width="9" style="7" customWidth="1"/>
    <col min="5090" max="5090" width="9.625" style="7" customWidth="1"/>
    <col min="5091" max="5091" width="7.625" style="7" customWidth="1"/>
    <col min="5092" max="5092" width="18.5" style="7" customWidth="1"/>
    <col min="5093" max="5093" width="6.625" style="7" customWidth="1"/>
    <col min="5094" max="5094" width="12.25" style="7" customWidth="1"/>
    <col min="5095" max="5095" width="8" style="7" customWidth="1"/>
    <col min="5096" max="5096" width="10.625" style="7" customWidth="1"/>
    <col min="5097" max="5097" width="8" style="7" customWidth="1"/>
    <col min="5098" max="5098" width="11.375" style="7" customWidth="1"/>
    <col min="5099" max="5099" width="11.5" style="7" customWidth="1"/>
    <col min="5100" max="5100" width="8" style="7" customWidth="1"/>
    <col min="5101" max="5101" width="11.25" style="7" customWidth="1"/>
    <col min="5102" max="5102" width="8" style="7" customWidth="1"/>
    <col min="5103" max="5103" width="10.875" style="7" customWidth="1"/>
    <col min="5104" max="5104" width="12.25" style="7" customWidth="1"/>
    <col min="5105" max="5105" width="8" style="7" customWidth="1"/>
    <col min="5106" max="5106" width="11.875" style="7" customWidth="1"/>
    <col min="5107" max="5107" width="8" style="7" customWidth="1"/>
    <col min="5108" max="5108" width="11" style="7" customWidth="1"/>
    <col min="5109" max="5109" width="12.25" style="7" customWidth="1"/>
    <col min="5110" max="5110" width="8" style="7" customWidth="1"/>
    <col min="5111" max="5111" width="11.875" style="7" customWidth="1"/>
    <col min="5112" max="5112" width="8" style="7" customWidth="1"/>
    <col min="5113" max="5113" width="12.25" style="7" customWidth="1"/>
    <col min="5114" max="5114" width="14.25" style="7" customWidth="1"/>
    <col min="5115" max="5115" width="8" style="7" customWidth="1"/>
    <col min="5116" max="5116" width="14" style="7" customWidth="1"/>
    <col min="5117" max="5117" width="8.875" style="7" customWidth="1"/>
    <col min="5118" max="5118" width="15.25" style="7" customWidth="1"/>
    <col min="5119" max="5119" width="16.375" style="7" customWidth="1"/>
    <col min="5120" max="5120" width="8.875" style="7" customWidth="1"/>
    <col min="5121" max="5121" width="9.625" style="7" customWidth="1"/>
    <col min="5122" max="5122" width="8.75" style="7" customWidth="1"/>
    <col min="5123" max="5123" width="12.375" style="7" customWidth="1"/>
    <col min="5124" max="5124" width="8.75" style="7" customWidth="1"/>
    <col min="5125" max="5125" width="11.5" style="7" customWidth="1"/>
    <col min="5126" max="5126" width="6.625" style="7" customWidth="1"/>
    <col min="5127" max="5127" width="11.25" style="7" customWidth="1"/>
    <col min="5128" max="5345" width="9" style="7" customWidth="1"/>
    <col min="5346" max="5346" width="9.625" style="7" customWidth="1"/>
    <col min="5347" max="5347" width="7.625" style="7" customWidth="1"/>
    <col min="5348" max="5348" width="18.5" style="7" customWidth="1"/>
    <col min="5349" max="5349" width="6.625" style="7" customWidth="1"/>
    <col min="5350" max="5350" width="12.25" style="7" customWidth="1"/>
    <col min="5351" max="5351" width="8" style="7" customWidth="1"/>
    <col min="5352" max="5352" width="10.625" style="7" customWidth="1"/>
    <col min="5353" max="5353" width="8" style="7" customWidth="1"/>
    <col min="5354" max="5354" width="11.375" style="7" customWidth="1"/>
    <col min="5355" max="5355" width="11.5" style="7" customWidth="1"/>
    <col min="5356" max="5356" width="8" style="7" customWidth="1"/>
    <col min="5357" max="5357" width="11.25" style="7" customWidth="1"/>
    <col min="5358" max="5358" width="8" style="7" customWidth="1"/>
    <col min="5359" max="5359" width="10.875" style="7" customWidth="1"/>
    <col min="5360" max="5360" width="12.25" style="7" customWidth="1"/>
    <col min="5361" max="5361" width="8" style="7" customWidth="1"/>
    <col min="5362" max="5362" width="11.875" style="7" customWidth="1"/>
    <col min="5363" max="5363" width="8" style="7" customWidth="1"/>
    <col min="5364" max="5364" width="11" style="7" customWidth="1"/>
    <col min="5365" max="5365" width="12.25" style="7" customWidth="1"/>
    <col min="5366" max="5366" width="8" style="7" customWidth="1"/>
    <col min="5367" max="5367" width="11.875" style="7" customWidth="1"/>
    <col min="5368" max="5368" width="8" style="7" customWidth="1"/>
    <col min="5369" max="5369" width="12.25" style="7" customWidth="1"/>
    <col min="5370" max="5370" width="14.25" style="7" customWidth="1"/>
    <col min="5371" max="5371" width="8" style="7" customWidth="1"/>
    <col min="5372" max="5372" width="14" style="7" customWidth="1"/>
    <col min="5373" max="5373" width="8.875" style="7" customWidth="1"/>
    <col min="5374" max="5374" width="15.25" style="7" customWidth="1"/>
    <col min="5375" max="5375" width="16.375" style="7" customWidth="1"/>
    <col min="5376" max="5376" width="8.875" style="7" customWidth="1"/>
    <col min="5377" max="5377" width="9.625" style="7" customWidth="1"/>
    <col min="5378" max="5378" width="8.75" style="7" customWidth="1"/>
    <col min="5379" max="5379" width="12.375" style="7" customWidth="1"/>
    <col min="5380" max="5380" width="8.75" style="7" customWidth="1"/>
    <col min="5381" max="5381" width="11.5" style="7" customWidth="1"/>
    <col min="5382" max="5382" width="6.625" style="7" customWidth="1"/>
    <col min="5383" max="5383" width="11.25" style="7" customWidth="1"/>
    <col min="5384" max="5601" width="9" style="7" customWidth="1"/>
    <col min="5602" max="5602" width="9.625" style="7" customWidth="1"/>
    <col min="5603" max="5603" width="7.625" style="7" customWidth="1"/>
    <col min="5604" max="5604" width="18.5" style="7" customWidth="1"/>
    <col min="5605" max="5605" width="6.625" style="7" customWidth="1"/>
    <col min="5606" max="5606" width="12.25" style="7" customWidth="1"/>
    <col min="5607" max="5607" width="8" style="7" customWidth="1"/>
    <col min="5608" max="5608" width="10.625" style="7" customWidth="1"/>
    <col min="5609" max="5609" width="8" style="7" customWidth="1"/>
    <col min="5610" max="5610" width="11.375" style="7" customWidth="1"/>
    <col min="5611" max="5611" width="11.5" style="7" customWidth="1"/>
    <col min="5612" max="5612" width="8" style="7" customWidth="1"/>
    <col min="5613" max="5613" width="11.25" style="7" customWidth="1"/>
    <col min="5614" max="5614" width="8" style="7" customWidth="1"/>
    <col min="5615" max="5615" width="10.875" style="7" customWidth="1"/>
    <col min="5616" max="5616" width="12.25" style="7" customWidth="1"/>
    <col min="5617" max="5617" width="8" style="7" customWidth="1"/>
    <col min="5618" max="5618" width="11.875" style="7" customWidth="1"/>
    <col min="5619" max="5619" width="8" style="7" customWidth="1"/>
    <col min="5620" max="5620" width="11" style="7" customWidth="1"/>
    <col min="5621" max="5621" width="12.25" style="7" customWidth="1"/>
    <col min="5622" max="5622" width="8" style="7" customWidth="1"/>
    <col min="5623" max="5623" width="11.875" style="7" customWidth="1"/>
    <col min="5624" max="5624" width="8" style="7" customWidth="1"/>
    <col min="5625" max="5625" width="12.25" style="7" customWidth="1"/>
    <col min="5626" max="5626" width="14.25" style="7" customWidth="1"/>
    <col min="5627" max="5627" width="8" style="7" customWidth="1"/>
    <col min="5628" max="5628" width="14" style="7" customWidth="1"/>
    <col min="5629" max="5629" width="8.875" style="7" customWidth="1"/>
    <col min="5630" max="5630" width="15.25" style="7" customWidth="1"/>
    <col min="5631" max="5631" width="16.375" style="7" customWidth="1"/>
    <col min="5632" max="5632" width="8.875" style="7" customWidth="1"/>
    <col min="5633" max="5633" width="9.625" style="7" customWidth="1"/>
    <col min="5634" max="5634" width="8.75" style="7" customWidth="1"/>
    <col min="5635" max="5635" width="12.375" style="7" customWidth="1"/>
    <col min="5636" max="5636" width="8.75" style="7" customWidth="1"/>
    <col min="5637" max="5637" width="11.5" style="7" customWidth="1"/>
    <col min="5638" max="5638" width="6.625" style="7" customWidth="1"/>
    <col min="5639" max="5639" width="11.25" style="7" customWidth="1"/>
    <col min="5640" max="5857" width="9" style="7" customWidth="1"/>
    <col min="5858" max="5858" width="9.625" style="7" customWidth="1"/>
    <col min="5859" max="5859" width="7.625" style="7" customWidth="1"/>
    <col min="5860" max="5860" width="18.5" style="7" customWidth="1"/>
    <col min="5861" max="5861" width="6.625" style="7" customWidth="1"/>
    <col min="5862" max="5862" width="12.25" style="7" customWidth="1"/>
    <col min="5863" max="5863" width="8" style="7" customWidth="1"/>
    <col min="5864" max="5864" width="10.625" style="7" customWidth="1"/>
    <col min="5865" max="5865" width="8" style="7" customWidth="1"/>
    <col min="5866" max="5866" width="11.375" style="7" customWidth="1"/>
    <col min="5867" max="5867" width="11.5" style="7" customWidth="1"/>
    <col min="5868" max="5868" width="8" style="7" customWidth="1"/>
    <col min="5869" max="5869" width="11.25" style="7" customWidth="1"/>
    <col min="5870" max="5870" width="8" style="7" customWidth="1"/>
    <col min="5871" max="5871" width="10.875" style="7" customWidth="1"/>
    <col min="5872" max="5872" width="12.25" style="7" customWidth="1"/>
    <col min="5873" max="5873" width="8" style="7" customWidth="1"/>
    <col min="5874" max="5874" width="11.875" style="7" customWidth="1"/>
    <col min="5875" max="5875" width="8" style="7" customWidth="1"/>
    <col min="5876" max="5876" width="11" style="7" customWidth="1"/>
    <col min="5877" max="5877" width="12.25" style="7" customWidth="1"/>
    <col min="5878" max="5878" width="8" style="7" customWidth="1"/>
    <col min="5879" max="5879" width="11.875" style="7" customWidth="1"/>
    <col min="5880" max="5880" width="8" style="7" customWidth="1"/>
    <col min="5881" max="5881" width="12.25" style="7" customWidth="1"/>
    <col min="5882" max="5882" width="14.25" style="7" customWidth="1"/>
    <col min="5883" max="5883" width="8" style="7" customWidth="1"/>
    <col min="5884" max="5884" width="14" style="7" customWidth="1"/>
    <col min="5885" max="5885" width="8.875" style="7" customWidth="1"/>
    <col min="5886" max="5886" width="15.25" style="7" customWidth="1"/>
    <col min="5887" max="5887" width="16.375" style="7" customWidth="1"/>
    <col min="5888" max="5888" width="8.875" style="7" customWidth="1"/>
    <col min="5889" max="5889" width="9.625" style="7" customWidth="1"/>
    <col min="5890" max="5890" width="8.75" style="7" customWidth="1"/>
    <col min="5891" max="5891" width="12.375" style="7" customWidth="1"/>
    <col min="5892" max="5892" width="8.75" style="7" customWidth="1"/>
    <col min="5893" max="5893" width="11.5" style="7" customWidth="1"/>
    <col min="5894" max="5894" width="6.625" style="7" customWidth="1"/>
    <col min="5895" max="5895" width="11.25" style="7" customWidth="1"/>
    <col min="5896" max="6113" width="9" style="7" customWidth="1"/>
    <col min="6114" max="6114" width="9.625" style="7" customWidth="1"/>
    <col min="6115" max="6115" width="7.625" style="7" customWidth="1"/>
    <col min="6116" max="6116" width="18.5" style="7" customWidth="1"/>
    <col min="6117" max="6117" width="6.625" style="7" customWidth="1"/>
    <col min="6118" max="6118" width="12.25" style="7" customWidth="1"/>
    <col min="6119" max="6119" width="8" style="7" customWidth="1"/>
    <col min="6120" max="6120" width="10.625" style="7" customWidth="1"/>
    <col min="6121" max="6121" width="8" style="7" customWidth="1"/>
    <col min="6122" max="6122" width="11.375" style="7" customWidth="1"/>
    <col min="6123" max="6123" width="11.5" style="7" customWidth="1"/>
    <col min="6124" max="6124" width="8" style="7" customWidth="1"/>
    <col min="6125" max="6125" width="11.25" style="7" customWidth="1"/>
    <col min="6126" max="6126" width="8" style="7" customWidth="1"/>
    <col min="6127" max="6127" width="10.875" style="7" customWidth="1"/>
    <col min="6128" max="6128" width="12.25" style="7" customWidth="1"/>
    <col min="6129" max="6129" width="8" style="7" customWidth="1"/>
    <col min="6130" max="6130" width="11.875" style="7" customWidth="1"/>
    <col min="6131" max="6131" width="8" style="7" customWidth="1"/>
    <col min="6132" max="6132" width="11" style="7" customWidth="1"/>
    <col min="6133" max="6133" width="12.25" style="7" customWidth="1"/>
    <col min="6134" max="6134" width="8" style="7" customWidth="1"/>
    <col min="6135" max="6135" width="11.875" style="7" customWidth="1"/>
    <col min="6136" max="6136" width="8" style="7" customWidth="1"/>
    <col min="6137" max="6137" width="12.25" style="7" customWidth="1"/>
    <col min="6138" max="6138" width="14.25" style="7" customWidth="1"/>
    <col min="6139" max="6139" width="8" style="7" customWidth="1"/>
    <col min="6140" max="6140" width="14" style="7" customWidth="1"/>
    <col min="6141" max="6141" width="8.875" style="7" customWidth="1"/>
    <col min="6142" max="6142" width="15.25" style="7" customWidth="1"/>
    <col min="6143" max="6143" width="16.375" style="7" customWidth="1"/>
    <col min="6144" max="6144" width="8.875" style="7" customWidth="1"/>
    <col min="6145" max="6145" width="9.625" style="7" customWidth="1"/>
    <col min="6146" max="6146" width="8.75" style="7" customWidth="1"/>
    <col min="6147" max="6147" width="12.375" style="7" customWidth="1"/>
    <col min="6148" max="6148" width="8.75" style="7" customWidth="1"/>
    <col min="6149" max="6149" width="11.5" style="7" customWidth="1"/>
    <col min="6150" max="6150" width="6.625" style="7" customWidth="1"/>
    <col min="6151" max="6151" width="11.25" style="7" customWidth="1"/>
    <col min="6152" max="6369" width="9" style="7" customWidth="1"/>
    <col min="6370" max="6370" width="9.625" style="7" customWidth="1"/>
    <col min="6371" max="6371" width="7.625" style="7" customWidth="1"/>
    <col min="6372" max="6372" width="18.5" style="7" customWidth="1"/>
    <col min="6373" max="6373" width="6.625" style="7" customWidth="1"/>
    <col min="6374" max="6374" width="12.25" style="7" customWidth="1"/>
    <col min="6375" max="6375" width="8" style="7" customWidth="1"/>
    <col min="6376" max="6376" width="10.625" style="7" customWidth="1"/>
    <col min="6377" max="6377" width="8" style="7" customWidth="1"/>
    <col min="6378" max="6378" width="11.375" style="7" customWidth="1"/>
    <col min="6379" max="6379" width="11.5" style="7" customWidth="1"/>
    <col min="6380" max="6380" width="8" style="7" customWidth="1"/>
    <col min="6381" max="6381" width="11.25" style="7" customWidth="1"/>
    <col min="6382" max="6382" width="8" style="7" customWidth="1"/>
    <col min="6383" max="6383" width="10.875" style="7" customWidth="1"/>
    <col min="6384" max="6384" width="12.25" style="7" customWidth="1"/>
    <col min="6385" max="6385" width="8" style="7" customWidth="1"/>
    <col min="6386" max="6386" width="11.875" style="7" customWidth="1"/>
    <col min="6387" max="6387" width="8" style="7" customWidth="1"/>
    <col min="6388" max="6388" width="11" style="7" customWidth="1"/>
    <col min="6389" max="6389" width="12.25" style="7" customWidth="1"/>
    <col min="6390" max="6390" width="8" style="7" customWidth="1"/>
    <col min="6391" max="6391" width="11.875" style="7" customWidth="1"/>
    <col min="6392" max="6392" width="8" style="7" customWidth="1"/>
    <col min="6393" max="6393" width="12.25" style="7" customWidth="1"/>
    <col min="6394" max="6394" width="14.25" style="7" customWidth="1"/>
    <col min="6395" max="6395" width="8" style="7" customWidth="1"/>
    <col min="6396" max="6396" width="14" style="7" customWidth="1"/>
    <col min="6397" max="6397" width="8.875" style="7" customWidth="1"/>
    <col min="6398" max="6398" width="15.25" style="7" customWidth="1"/>
    <col min="6399" max="6399" width="16.375" style="7" customWidth="1"/>
    <col min="6400" max="6400" width="8.875" style="7" customWidth="1"/>
    <col min="6401" max="6401" width="9.625" style="7" customWidth="1"/>
    <col min="6402" max="6402" width="8.75" style="7" customWidth="1"/>
    <col min="6403" max="6403" width="12.375" style="7" customWidth="1"/>
    <col min="6404" max="6404" width="8.75" style="7" customWidth="1"/>
    <col min="6405" max="6405" width="11.5" style="7" customWidth="1"/>
    <col min="6406" max="6406" width="6.625" style="7" customWidth="1"/>
    <col min="6407" max="6407" width="11.25" style="7" customWidth="1"/>
    <col min="6408" max="6625" width="9" style="7" customWidth="1"/>
    <col min="6626" max="6626" width="9.625" style="7" customWidth="1"/>
    <col min="6627" max="6627" width="7.625" style="7" customWidth="1"/>
    <col min="6628" max="6628" width="18.5" style="7" customWidth="1"/>
    <col min="6629" max="6629" width="6.625" style="7" customWidth="1"/>
    <col min="6630" max="6630" width="12.25" style="7" customWidth="1"/>
    <col min="6631" max="6631" width="8" style="7" customWidth="1"/>
    <col min="6632" max="6632" width="10.625" style="7" customWidth="1"/>
    <col min="6633" max="6633" width="8" style="7" customWidth="1"/>
    <col min="6634" max="6634" width="11.375" style="7" customWidth="1"/>
    <col min="6635" max="6635" width="11.5" style="7" customWidth="1"/>
    <col min="6636" max="6636" width="8" style="7" customWidth="1"/>
    <col min="6637" max="6637" width="11.25" style="7" customWidth="1"/>
    <col min="6638" max="6638" width="8" style="7" customWidth="1"/>
    <col min="6639" max="6639" width="10.875" style="7" customWidth="1"/>
    <col min="6640" max="6640" width="12.25" style="7" customWidth="1"/>
    <col min="6641" max="6641" width="8" style="7" customWidth="1"/>
    <col min="6642" max="6642" width="11.875" style="7" customWidth="1"/>
    <col min="6643" max="6643" width="8" style="7" customWidth="1"/>
    <col min="6644" max="6644" width="11" style="7" customWidth="1"/>
    <col min="6645" max="6645" width="12.25" style="7" customWidth="1"/>
    <col min="6646" max="6646" width="8" style="7" customWidth="1"/>
    <col min="6647" max="6647" width="11.875" style="7" customWidth="1"/>
    <col min="6648" max="6648" width="8" style="7" customWidth="1"/>
    <col min="6649" max="6649" width="12.25" style="7" customWidth="1"/>
    <col min="6650" max="6650" width="14.25" style="7" customWidth="1"/>
    <col min="6651" max="6651" width="8" style="7" customWidth="1"/>
    <col min="6652" max="6652" width="14" style="7" customWidth="1"/>
    <col min="6653" max="6653" width="8.875" style="7" customWidth="1"/>
    <col min="6654" max="6654" width="15.25" style="7" customWidth="1"/>
    <col min="6655" max="6655" width="16.375" style="7" customWidth="1"/>
    <col min="6656" max="6656" width="8.875" style="7" customWidth="1"/>
    <col min="6657" max="6657" width="9.625" style="7" customWidth="1"/>
    <col min="6658" max="6658" width="8.75" style="7" customWidth="1"/>
    <col min="6659" max="6659" width="12.375" style="7" customWidth="1"/>
    <col min="6660" max="6660" width="8.75" style="7" customWidth="1"/>
    <col min="6661" max="6661" width="11.5" style="7" customWidth="1"/>
    <col min="6662" max="6662" width="6.625" style="7" customWidth="1"/>
    <col min="6663" max="6663" width="11.25" style="7" customWidth="1"/>
    <col min="6664" max="6881" width="9" style="7" customWidth="1"/>
    <col min="6882" max="6882" width="9.625" style="7" customWidth="1"/>
    <col min="6883" max="6883" width="7.625" style="7" customWidth="1"/>
    <col min="6884" max="6884" width="18.5" style="7" customWidth="1"/>
    <col min="6885" max="6885" width="6.625" style="7" customWidth="1"/>
    <col min="6886" max="6886" width="12.25" style="7" customWidth="1"/>
    <col min="6887" max="6887" width="8" style="7" customWidth="1"/>
    <col min="6888" max="6888" width="10.625" style="7" customWidth="1"/>
    <col min="6889" max="6889" width="8" style="7" customWidth="1"/>
    <col min="6890" max="6890" width="11.375" style="7" customWidth="1"/>
    <col min="6891" max="6891" width="11.5" style="7" customWidth="1"/>
    <col min="6892" max="6892" width="8" style="7" customWidth="1"/>
    <col min="6893" max="6893" width="11.25" style="7" customWidth="1"/>
    <col min="6894" max="6894" width="8" style="7" customWidth="1"/>
    <col min="6895" max="6895" width="10.875" style="7" customWidth="1"/>
    <col min="6896" max="6896" width="12.25" style="7" customWidth="1"/>
    <col min="6897" max="6897" width="8" style="7" customWidth="1"/>
    <col min="6898" max="6898" width="11.875" style="7" customWidth="1"/>
    <col min="6899" max="6899" width="8" style="7" customWidth="1"/>
    <col min="6900" max="6900" width="11" style="7" customWidth="1"/>
    <col min="6901" max="6901" width="12.25" style="7" customWidth="1"/>
    <col min="6902" max="6902" width="8" style="7" customWidth="1"/>
    <col min="6903" max="6903" width="11.875" style="7" customWidth="1"/>
    <col min="6904" max="6904" width="8" style="7" customWidth="1"/>
    <col min="6905" max="6905" width="12.25" style="7" customWidth="1"/>
    <col min="6906" max="6906" width="14.25" style="7" customWidth="1"/>
    <col min="6907" max="6907" width="8" style="7" customWidth="1"/>
    <col min="6908" max="6908" width="14" style="7" customWidth="1"/>
    <col min="6909" max="6909" width="8.875" style="7" customWidth="1"/>
    <col min="6910" max="6910" width="15.25" style="7" customWidth="1"/>
    <col min="6911" max="6911" width="16.375" style="7" customWidth="1"/>
    <col min="6912" max="6912" width="8.875" style="7" customWidth="1"/>
    <col min="6913" max="6913" width="9.625" style="7" customWidth="1"/>
    <col min="6914" max="6914" width="8.75" style="7" customWidth="1"/>
    <col min="6915" max="6915" width="12.375" style="7" customWidth="1"/>
    <col min="6916" max="6916" width="8.75" style="7" customWidth="1"/>
    <col min="6917" max="6917" width="11.5" style="7" customWidth="1"/>
    <col min="6918" max="6918" width="6.625" style="7" customWidth="1"/>
    <col min="6919" max="6919" width="11.25" style="7" customWidth="1"/>
    <col min="6920" max="7137" width="9" style="7" customWidth="1"/>
    <col min="7138" max="7138" width="9.625" style="7" customWidth="1"/>
    <col min="7139" max="7139" width="7.625" style="7" customWidth="1"/>
    <col min="7140" max="7140" width="18.5" style="7" customWidth="1"/>
    <col min="7141" max="7141" width="6.625" style="7" customWidth="1"/>
    <col min="7142" max="7142" width="12.25" style="7" customWidth="1"/>
    <col min="7143" max="7143" width="8" style="7" customWidth="1"/>
    <col min="7144" max="7144" width="10.625" style="7" customWidth="1"/>
    <col min="7145" max="7145" width="8" style="7" customWidth="1"/>
    <col min="7146" max="7146" width="11.375" style="7" customWidth="1"/>
    <col min="7147" max="7147" width="11.5" style="7" customWidth="1"/>
    <col min="7148" max="7148" width="8" style="7" customWidth="1"/>
    <col min="7149" max="7149" width="11.25" style="7" customWidth="1"/>
    <col min="7150" max="7150" width="8" style="7" customWidth="1"/>
    <col min="7151" max="7151" width="10.875" style="7" customWidth="1"/>
    <col min="7152" max="7152" width="12.25" style="7" customWidth="1"/>
    <col min="7153" max="7153" width="8" style="7" customWidth="1"/>
    <col min="7154" max="7154" width="11.875" style="7" customWidth="1"/>
    <col min="7155" max="7155" width="8" style="7" customWidth="1"/>
    <col min="7156" max="7156" width="11" style="7" customWidth="1"/>
    <col min="7157" max="7157" width="12.25" style="7" customWidth="1"/>
    <col min="7158" max="7158" width="8" style="7" customWidth="1"/>
    <col min="7159" max="7159" width="11.875" style="7" customWidth="1"/>
    <col min="7160" max="7160" width="8" style="7" customWidth="1"/>
    <col min="7161" max="7161" width="12.25" style="7" customWidth="1"/>
    <col min="7162" max="7162" width="14.25" style="7" customWidth="1"/>
    <col min="7163" max="7163" width="8" style="7" customWidth="1"/>
    <col min="7164" max="7164" width="14" style="7" customWidth="1"/>
    <col min="7165" max="7165" width="8.875" style="7" customWidth="1"/>
    <col min="7166" max="7166" width="15.25" style="7" customWidth="1"/>
    <col min="7167" max="7167" width="16.375" style="7" customWidth="1"/>
    <col min="7168" max="7168" width="8.875" style="7" customWidth="1"/>
    <col min="7169" max="7169" width="9.625" style="7" customWidth="1"/>
    <col min="7170" max="7170" width="8.75" style="7" customWidth="1"/>
    <col min="7171" max="7171" width="12.375" style="7" customWidth="1"/>
    <col min="7172" max="7172" width="8.75" style="7" customWidth="1"/>
    <col min="7173" max="7173" width="11.5" style="7" customWidth="1"/>
    <col min="7174" max="7174" width="6.625" style="7" customWidth="1"/>
    <col min="7175" max="7175" width="11.25" style="7" customWidth="1"/>
    <col min="7176" max="7393" width="9" style="7" customWidth="1"/>
    <col min="7394" max="7394" width="9.625" style="7" customWidth="1"/>
    <col min="7395" max="7395" width="7.625" style="7" customWidth="1"/>
    <col min="7396" max="7396" width="18.5" style="7" customWidth="1"/>
    <col min="7397" max="7397" width="6.625" style="7" customWidth="1"/>
    <col min="7398" max="7398" width="12.25" style="7" customWidth="1"/>
    <col min="7399" max="7399" width="8" style="7" customWidth="1"/>
    <col min="7400" max="7400" width="10.625" style="7" customWidth="1"/>
    <col min="7401" max="7401" width="8" style="7" customWidth="1"/>
    <col min="7402" max="7402" width="11.375" style="7" customWidth="1"/>
    <col min="7403" max="7403" width="11.5" style="7" customWidth="1"/>
    <col min="7404" max="7404" width="8" style="7" customWidth="1"/>
    <col min="7405" max="7405" width="11.25" style="7" customWidth="1"/>
    <col min="7406" max="7406" width="8" style="7" customWidth="1"/>
    <col min="7407" max="7407" width="10.875" style="7" customWidth="1"/>
    <col min="7408" max="7408" width="12.25" style="7" customWidth="1"/>
    <col min="7409" max="7409" width="8" style="7" customWidth="1"/>
    <col min="7410" max="7410" width="11.875" style="7" customWidth="1"/>
    <col min="7411" max="7411" width="8" style="7" customWidth="1"/>
    <col min="7412" max="7412" width="11" style="7" customWidth="1"/>
    <col min="7413" max="7413" width="12.25" style="7" customWidth="1"/>
    <col min="7414" max="7414" width="8" style="7" customWidth="1"/>
    <col min="7415" max="7415" width="11.875" style="7" customWidth="1"/>
    <col min="7416" max="7416" width="8" style="7" customWidth="1"/>
    <col min="7417" max="7417" width="12.25" style="7" customWidth="1"/>
    <col min="7418" max="7418" width="14.25" style="7" customWidth="1"/>
    <col min="7419" max="7419" width="8" style="7" customWidth="1"/>
    <col min="7420" max="7420" width="14" style="7" customWidth="1"/>
    <col min="7421" max="7421" width="8.875" style="7" customWidth="1"/>
    <col min="7422" max="7422" width="15.25" style="7" customWidth="1"/>
    <col min="7423" max="7423" width="16.375" style="7" customWidth="1"/>
    <col min="7424" max="7424" width="8.875" style="7" customWidth="1"/>
    <col min="7425" max="7425" width="9.625" style="7" customWidth="1"/>
    <col min="7426" max="7426" width="8.75" style="7" customWidth="1"/>
    <col min="7427" max="7427" width="12.375" style="7" customWidth="1"/>
    <col min="7428" max="7428" width="8.75" style="7" customWidth="1"/>
    <col min="7429" max="7429" width="11.5" style="7" customWidth="1"/>
    <col min="7430" max="7430" width="6.625" style="7" customWidth="1"/>
    <col min="7431" max="7431" width="11.25" style="7" customWidth="1"/>
    <col min="7432" max="7649" width="9" style="7" customWidth="1"/>
    <col min="7650" max="7650" width="9.625" style="7" customWidth="1"/>
    <col min="7651" max="7651" width="7.625" style="7" customWidth="1"/>
    <col min="7652" max="7652" width="18.5" style="7" customWidth="1"/>
    <col min="7653" max="7653" width="6.625" style="7" customWidth="1"/>
    <col min="7654" max="7654" width="12.25" style="7" customWidth="1"/>
    <col min="7655" max="7655" width="8" style="7" customWidth="1"/>
    <col min="7656" max="7656" width="10.625" style="7" customWidth="1"/>
    <col min="7657" max="7657" width="8" style="7" customWidth="1"/>
    <col min="7658" max="7658" width="11.375" style="7" customWidth="1"/>
    <col min="7659" max="7659" width="11.5" style="7" customWidth="1"/>
    <col min="7660" max="7660" width="8" style="7" customWidth="1"/>
    <col min="7661" max="7661" width="11.25" style="7" customWidth="1"/>
    <col min="7662" max="7662" width="8" style="7" customWidth="1"/>
    <col min="7663" max="7663" width="10.875" style="7" customWidth="1"/>
    <col min="7664" max="7664" width="12.25" style="7" customWidth="1"/>
    <col min="7665" max="7665" width="8" style="7" customWidth="1"/>
    <col min="7666" max="7666" width="11.875" style="7" customWidth="1"/>
    <col min="7667" max="7667" width="8" style="7" customWidth="1"/>
    <col min="7668" max="7668" width="11" style="7" customWidth="1"/>
    <col min="7669" max="7669" width="12.25" style="7" customWidth="1"/>
    <col min="7670" max="7670" width="8" style="7" customWidth="1"/>
    <col min="7671" max="7671" width="11.875" style="7" customWidth="1"/>
    <col min="7672" max="7672" width="8" style="7" customWidth="1"/>
    <col min="7673" max="7673" width="12.25" style="7" customWidth="1"/>
    <col min="7674" max="7674" width="14.25" style="7" customWidth="1"/>
    <col min="7675" max="7675" width="8" style="7" customWidth="1"/>
    <col min="7676" max="7676" width="14" style="7" customWidth="1"/>
    <col min="7677" max="7677" width="8.875" style="7" customWidth="1"/>
    <col min="7678" max="7678" width="15.25" style="7" customWidth="1"/>
    <col min="7679" max="7679" width="16.375" style="7" customWidth="1"/>
    <col min="7680" max="7680" width="8.875" style="7" customWidth="1"/>
    <col min="7681" max="7681" width="9.625" style="7" customWidth="1"/>
    <col min="7682" max="7682" width="8.75" style="7" customWidth="1"/>
    <col min="7683" max="7683" width="12.375" style="7" customWidth="1"/>
    <col min="7684" max="7684" width="8.75" style="7" customWidth="1"/>
    <col min="7685" max="7685" width="11.5" style="7" customWidth="1"/>
    <col min="7686" max="7686" width="6.625" style="7" customWidth="1"/>
    <col min="7687" max="7687" width="11.25" style="7" customWidth="1"/>
    <col min="7688" max="7905" width="9" style="7" customWidth="1"/>
    <col min="7906" max="7906" width="9.625" style="7" customWidth="1"/>
    <col min="7907" max="7907" width="7.625" style="7" customWidth="1"/>
    <col min="7908" max="7908" width="18.5" style="7" customWidth="1"/>
    <col min="7909" max="7909" width="6.625" style="7" customWidth="1"/>
    <col min="7910" max="7910" width="12.25" style="7" customWidth="1"/>
    <col min="7911" max="7911" width="8" style="7" customWidth="1"/>
    <col min="7912" max="7912" width="10.625" style="7" customWidth="1"/>
    <col min="7913" max="7913" width="8" style="7" customWidth="1"/>
    <col min="7914" max="7914" width="11.375" style="7" customWidth="1"/>
    <col min="7915" max="7915" width="11.5" style="7" customWidth="1"/>
    <col min="7916" max="7916" width="8" style="7" customWidth="1"/>
    <col min="7917" max="7917" width="11.25" style="7" customWidth="1"/>
    <col min="7918" max="7918" width="8" style="7" customWidth="1"/>
    <col min="7919" max="7919" width="10.875" style="7" customWidth="1"/>
    <col min="7920" max="7920" width="12.25" style="7" customWidth="1"/>
    <col min="7921" max="7921" width="8" style="7" customWidth="1"/>
    <col min="7922" max="7922" width="11.875" style="7" customWidth="1"/>
    <col min="7923" max="7923" width="8" style="7" customWidth="1"/>
    <col min="7924" max="7924" width="11" style="7" customWidth="1"/>
    <col min="7925" max="7925" width="12.25" style="7" customWidth="1"/>
    <col min="7926" max="7926" width="8" style="7" customWidth="1"/>
    <col min="7927" max="7927" width="11.875" style="7" customWidth="1"/>
    <col min="7928" max="7928" width="8" style="7" customWidth="1"/>
    <col min="7929" max="7929" width="12.25" style="7" customWidth="1"/>
    <col min="7930" max="7930" width="14.25" style="7" customWidth="1"/>
    <col min="7931" max="7931" width="8" style="7" customWidth="1"/>
    <col min="7932" max="7932" width="14" style="7" customWidth="1"/>
    <col min="7933" max="7933" width="8.875" style="7" customWidth="1"/>
    <col min="7934" max="7934" width="15.25" style="7" customWidth="1"/>
    <col min="7935" max="7935" width="16.375" style="7" customWidth="1"/>
    <col min="7936" max="7936" width="8.875" style="7" customWidth="1"/>
    <col min="7937" max="7937" width="9.625" style="7" customWidth="1"/>
    <col min="7938" max="7938" width="8.75" style="7" customWidth="1"/>
    <col min="7939" max="7939" width="12.375" style="7" customWidth="1"/>
    <col min="7940" max="7940" width="8.75" style="7" customWidth="1"/>
    <col min="7941" max="7941" width="11.5" style="7" customWidth="1"/>
    <col min="7942" max="7942" width="6.625" style="7" customWidth="1"/>
    <col min="7943" max="7943" width="11.25" style="7" customWidth="1"/>
    <col min="7944" max="8161" width="9" style="7" customWidth="1"/>
    <col min="8162" max="8162" width="9.625" style="7" customWidth="1"/>
    <col min="8163" max="8163" width="7.625" style="7" customWidth="1"/>
    <col min="8164" max="8164" width="18.5" style="7" customWidth="1"/>
    <col min="8165" max="8165" width="6.625" style="7" customWidth="1"/>
    <col min="8166" max="8166" width="12.25" style="7" customWidth="1"/>
    <col min="8167" max="8167" width="8" style="7" customWidth="1"/>
    <col min="8168" max="8168" width="10.625" style="7" customWidth="1"/>
    <col min="8169" max="8169" width="8" style="7" customWidth="1"/>
    <col min="8170" max="8170" width="11.375" style="7" customWidth="1"/>
    <col min="8171" max="8171" width="11.5" style="7" customWidth="1"/>
    <col min="8172" max="8172" width="8" style="7" customWidth="1"/>
    <col min="8173" max="8173" width="11.25" style="7" customWidth="1"/>
    <col min="8174" max="8174" width="8" style="7" customWidth="1"/>
    <col min="8175" max="8175" width="10.875" style="7" customWidth="1"/>
    <col min="8176" max="8176" width="12.25" style="7" customWidth="1"/>
    <col min="8177" max="8177" width="8" style="7" customWidth="1"/>
    <col min="8178" max="8178" width="11.875" style="7" customWidth="1"/>
    <col min="8179" max="8179" width="8" style="7" customWidth="1"/>
    <col min="8180" max="8180" width="11" style="7" customWidth="1"/>
    <col min="8181" max="8181" width="12.25" style="7" customWidth="1"/>
    <col min="8182" max="8182" width="8" style="7" customWidth="1"/>
    <col min="8183" max="8183" width="11.875" style="7" customWidth="1"/>
    <col min="8184" max="8184" width="8" style="7" customWidth="1"/>
    <col min="8185" max="8185" width="12.25" style="7" customWidth="1"/>
    <col min="8186" max="8186" width="14.25" style="7" customWidth="1"/>
    <col min="8187" max="8187" width="8" style="7" customWidth="1"/>
    <col min="8188" max="8188" width="14" style="7" customWidth="1"/>
    <col min="8189" max="8189" width="8.875" style="7" customWidth="1"/>
    <col min="8190" max="8190" width="15.25" style="7" customWidth="1"/>
    <col min="8191" max="8191" width="16.375" style="7" customWidth="1"/>
    <col min="8192" max="8192" width="8.875" style="7" customWidth="1"/>
    <col min="8193" max="8193" width="9.625" style="7" customWidth="1"/>
    <col min="8194" max="8194" width="8.75" style="7" customWidth="1"/>
    <col min="8195" max="8195" width="12.375" style="7" customWidth="1"/>
    <col min="8196" max="8196" width="8.75" style="7" customWidth="1"/>
    <col min="8197" max="8197" width="11.5" style="7" customWidth="1"/>
    <col min="8198" max="8198" width="6.625" style="7" customWidth="1"/>
    <col min="8199" max="8199" width="11.25" style="7" customWidth="1"/>
    <col min="8200" max="8417" width="9" style="7" customWidth="1"/>
    <col min="8418" max="8418" width="9.625" style="7" customWidth="1"/>
    <col min="8419" max="8419" width="7.625" style="7" customWidth="1"/>
    <col min="8420" max="8420" width="18.5" style="7" customWidth="1"/>
    <col min="8421" max="8421" width="6.625" style="7" customWidth="1"/>
    <col min="8422" max="8422" width="12.25" style="7" customWidth="1"/>
    <col min="8423" max="8423" width="8" style="7" customWidth="1"/>
    <col min="8424" max="8424" width="10.625" style="7" customWidth="1"/>
    <col min="8425" max="8425" width="8" style="7" customWidth="1"/>
    <col min="8426" max="8426" width="11.375" style="7" customWidth="1"/>
    <col min="8427" max="8427" width="11.5" style="7" customWidth="1"/>
    <col min="8428" max="8428" width="8" style="7" customWidth="1"/>
    <col min="8429" max="8429" width="11.25" style="7" customWidth="1"/>
    <col min="8430" max="8430" width="8" style="7" customWidth="1"/>
    <col min="8431" max="8431" width="10.875" style="7" customWidth="1"/>
    <col min="8432" max="8432" width="12.25" style="7" customWidth="1"/>
    <col min="8433" max="8433" width="8" style="7" customWidth="1"/>
    <col min="8434" max="8434" width="11.875" style="7" customWidth="1"/>
    <col min="8435" max="8435" width="8" style="7" customWidth="1"/>
    <col min="8436" max="8436" width="11" style="7" customWidth="1"/>
    <col min="8437" max="8437" width="12.25" style="7" customWidth="1"/>
    <col min="8438" max="8438" width="8" style="7" customWidth="1"/>
    <col min="8439" max="8439" width="11.875" style="7" customWidth="1"/>
    <col min="8440" max="8440" width="8" style="7" customWidth="1"/>
    <col min="8441" max="8441" width="12.25" style="7" customWidth="1"/>
    <col min="8442" max="8442" width="14.25" style="7" customWidth="1"/>
    <col min="8443" max="8443" width="8" style="7" customWidth="1"/>
    <col min="8444" max="8444" width="14" style="7" customWidth="1"/>
    <col min="8445" max="8445" width="8.875" style="7" customWidth="1"/>
    <col min="8446" max="8446" width="15.25" style="7" customWidth="1"/>
    <col min="8447" max="8447" width="16.375" style="7" customWidth="1"/>
    <col min="8448" max="8448" width="8.875" style="7" customWidth="1"/>
    <col min="8449" max="8449" width="9.625" style="7" customWidth="1"/>
    <col min="8450" max="8450" width="8.75" style="7" customWidth="1"/>
    <col min="8451" max="8451" width="12.375" style="7" customWidth="1"/>
    <col min="8452" max="8452" width="8.75" style="7" customWidth="1"/>
    <col min="8453" max="8453" width="11.5" style="7" customWidth="1"/>
    <col min="8454" max="8454" width="6.625" style="7" customWidth="1"/>
    <col min="8455" max="8455" width="11.25" style="7" customWidth="1"/>
    <col min="8456" max="8673" width="9" style="7" customWidth="1"/>
    <col min="8674" max="8674" width="9.625" style="7" customWidth="1"/>
    <col min="8675" max="8675" width="7.625" style="7" customWidth="1"/>
    <col min="8676" max="8676" width="18.5" style="7" customWidth="1"/>
    <col min="8677" max="8677" width="6.625" style="7" customWidth="1"/>
    <col min="8678" max="8678" width="12.25" style="7" customWidth="1"/>
    <col min="8679" max="8679" width="8" style="7" customWidth="1"/>
    <col min="8680" max="8680" width="10.625" style="7" customWidth="1"/>
    <col min="8681" max="8681" width="8" style="7" customWidth="1"/>
    <col min="8682" max="8682" width="11.375" style="7" customWidth="1"/>
    <col min="8683" max="8683" width="11.5" style="7" customWidth="1"/>
    <col min="8684" max="8684" width="8" style="7" customWidth="1"/>
    <col min="8685" max="8685" width="11.25" style="7" customWidth="1"/>
    <col min="8686" max="8686" width="8" style="7" customWidth="1"/>
    <col min="8687" max="8687" width="10.875" style="7" customWidth="1"/>
    <col min="8688" max="8688" width="12.25" style="7" customWidth="1"/>
    <col min="8689" max="8689" width="8" style="7" customWidth="1"/>
    <col min="8690" max="8690" width="11.875" style="7" customWidth="1"/>
    <col min="8691" max="8691" width="8" style="7" customWidth="1"/>
    <col min="8692" max="8692" width="11" style="7" customWidth="1"/>
    <col min="8693" max="8693" width="12.25" style="7" customWidth="1"/>
    <col min="8694" max="8694" width="8" style="7" customWidth="1"/>
    <col min="8695" max="8695" width="11.875" style="7" customWidth="1"/>
    <col min="8696" max="8696" width="8" style="7" customWidth="1"/>
    <col min="8697" max="8697" width="12.25" style="7" customWidth="1"/>
    <col min="8698" max="8698" width="14.25" style="7" customWidth="1"/>
    <col min="8699" max="8699" width="8" style="7" customWidth="1"/>
    <col min="8700" max="8700" width="14" style="7" customWidth="1"/>
    <col min="8701" max="8701" width="8.875" style="7" customWidth="1"/>
    <col min="8702" max="8702" width="15.25" style="7" customWidth="1"/>
    <col min="8703" max="8703" width="16.375" style="7" customWidth="1"/>
    <col min="8704" max="8704" width="8.875" style="7" customWidth="1"/>
    <col min="8705" max="8705" width="9.625" style="7" customWidth="1"/>
    <col min="8706" max="8706" width="8.75" style="7" customWidth="1"/>
    <col min="8707" max="8707" width="12.375" style="7" customWidth="1"/>
    <col min="8708" max="8708" width="8.75" style="7" customWidth="1"/>
    <col min="8709" max="8709" width="11.5" style="7" customWidth="1"/>
    <col min="8710" max="8710" width="6.625" style="7" customWidth="1"/>
    <col min="8711" max="8711" width="11.25" style="7" customWidth="1"/>
    <col min="8712" max="8929" width="9" style="7" customWidth="1"/>
    <col min="8930" max="8930" width="9.625" style="7" customWidth="1"/>
    <col min="8931" max="8931" width="7.625" style="7" customWidth="1"/>
    <col min="8932" max="8932" width="18.5" style="7" customWidth="1"/>
    <col min="8933" max="8933" width="6.625" style="7" customWidth="1"/>
    <col min="8934" max="8934" width="12.25" style="7" customWidth="1"/>
    <col min="8935" max="8935" width="8" style="7" customWidth="1"/>
    <col min="8936" max="8936" width="10.625" style="7" customWidth="1"/>
    <col min="8937" max="8937" width="8" style="7" customWidth="1"/>
    <col min="8938" max="8938" width="11.375" style="7" customWidth="1"/>
    <col min="8939" max="8939" width="11.5" style="7" customWidth="1"/>
    <col min="8940" max="8940" width="8" style="7" customWidth="1"/>
    <col min="8941" max="8941" width="11.25" style="7" customWidth="1"/>
    <col min="8942" max="8942" width="8" style="7" customWidth="1"/>
    <col min="8943" max="8943" width="10.875" style="7" customWidth="1"/>
    <col min="8944" max="8944" width="12.25" style="7" customWidth="1"/>
    <col min="8945" max="8945" width="8" style="7" customWidth="1"/>
    <col min="8946" max="8946" width="11.875" style="7" customWidth="1"/>
    <col min="8947" max="8947" width="8" style="7" customWidth="1"/>
    <col min="8948" max="8948" width="11" style="7" customWidth="1"/>
    <col min="8949" max="8949" width="12.25" style="7" customWidth="1"/>
    <col min="8950" max="8950" width="8" style="7" customWidth="1"/>
    <col min="8951" max="8951" width="11.875" style="7" customWidth="1"/>
    <col min="8952" max="8952" width="8" style="7" customWidth="1"/>
    <col min="8953" max="8953" width="12.25" style="7" customWidth="1"/>
    <col min="8954" max="8954" width="14.25" style="7" customWidth="1"/>
    <col min="8955" max="8955" width="8" style="7" customWidth="1"/>
    <col min="8956" max="8956" width="14" style="7" customWidth="1"/>
    <col min="8957" max="8957" width="8.875" style="7" customWidth="1"/>
    <col min="8958" max="8958" width="15.25" style="7" customWidth="1"/>
    <col min="8959" max="8959" width="16.375" style="7" customWidth="1"/>
    <col min="8960" max="8960" width="8.875" style="7" customWidth="1"/>
    <col min="8961" max="8961" width="9.625" style="7" customWidth="1"/>
    <col min="8962" max="8962" width="8.75" style="7" customWidth="1"/>
    <col min="8963" max="8963" width="12.375" style="7" customWidth="1"/>
    <col min="8964" max="8964" width="8.75" style="7" customWidth="1"/>
    <col min="8965" max="8965" width="11.5" style="7" customWidth="1"/>
    <col min="8966" max="8966" width="6.625" style="7" customWidth="1"/>
    <col min="8967" max="8967" width="11.25" style="7" customWidth="1"/>
    <col min="8968" max="9185" width="9" style="7" customWidth="1"/>
    <col min="9186" max="9186" width="9.625" style="7" customWidth="1"/>
    <col min="9187" max="9187" width="7.625" style="7" customWidth="1"/>
    <col min="9188" max="9188" width="18.5" style="7" customWidth="1"/>
    <col min="9189" max="9189" width="6.625" style="7" customWidth="1"/>
    <col min="9190" max="9190" width="12.25" style="7" customWidth="1"/>
    <col min="9191" max="9191" width="8" style="7" customWidth="1"/>
    <col min="9192" max="9192" width="10.625" style="7" customWidth="1"/>
    <col min="9193" max="9193" width="8" style="7" customWidth="1"/>
    <col min="9194" max="9194" width="11.375" style="7" customWidth="1"/>
    <col min="9195" max="9195" width="11.5" style="7" customWidth="1"/>
    <col min="9196" max="9196" width="8" style="7" customWidth="1"/>
    <col min="9197" max="9197" width="11.25" style="7" customWidth="1"/>
    <col min="9198" max="9198" width="8" style="7" customWidth="1"/>
    <col min="9199" max="9199" width="10.875" style="7" customWidth="1"/>
    <col min="9200" max="9200" width="12.25" style="7" customWidth="1"/>
    <col min="9201" max="9201" width="8" style="7" customWidth="1"/>
    <col min="9202" max="9202" width="11.875" style="7" customWidth="1"/>
    <col min="9203" max="9203" width="8" style="7" customWidth="1"/>
    <col min="9204" max="9204" width="11" style="7" customWidth="1"/>
    <col min="9205" max="9205" width="12.25" style="7" customWidth="1"/>
    <col min="9206" max="9206" width="8" style="7" customWidth="1"/>
    <col min="9207" max="9207" width="11.875" style="7" customWidth="1"/>
    <col min="9208" max="9208" width="8" style="7" customWidth="1"/>
    <col min="9209" max="9209" width="12.25" style="7" customWidth="1"/>
    <col min="9210" max="9210" width="14.25" style="7" customWidth="1"/>
    <col min="9211" max="9211" width="8" style="7" customWidth="1"/>
    <col min="9212" max="9212" width="14" style="7" customWidth="1"/>
    <col min="9213" max="9213" width="8.875" style="7" customWidth="1"/>
    <col min="9214" max="9214" width="15.25" style="7" customWidth="1"/>
    <col min="9215" max="9215" width="16.375" style="7" customWidth="1"/>
    <col min="9216" max="9216" width="8.875" style="7" customWidth="1"/>
    <col min="9217" max="9217" width="9.625" style="7" customWidth="1"/>
    <col min="9218" max="9218" width="8.75" style="7" customWidth="1"/>
    <col min="9219" max="9219" width="12.375" style="7" customWidth="1"/>
    <col min="9220" max="9220" width="8.75" style="7" customWidth="1"/>
    <col min="9221" max="9221" width="11.5" style="7" customWidth="1"/>
    <col min="9222" max="9222" width="6.625" style="7" customWidth="1"/>
    <col min="9223" max="9223" width="11.25" style="7" customWidth="1"/>
    <col min="9224" max="9441" width="9" style="7" customWidth="1"/>
    <col min="9442" max="9442" width="9.625" style="7" customWidth="1"/>
    <col min="9443" max="9443" width="7.625" style="7" customWidth="1"/>
    <col min="9444" max="9444" width="18.5" style="7" customWidth="1"/>
    <col min="9445" max="9445" width="6.625" style="7" customWidth="1"/>
    <col min="9446" max="9446" width="12.25" style="7" customWidth="1"/>
    <col min="9447" max="9447" width="8" style="7" customWidth="1"/>
    <col min="9448" max="9448" width="10.625" style="7" customWidth="1"/>
    <col min="9449" max="9449" width="8" style="7" customWidth="1"/>
    <col min="9450" max="9450" width="11.375" style="7" customWidth="1"/>
    <col min="9451" max="9451" width="11.5" style="7" customWidth="1"/>
    <col min="9452" max="9452" width="8" style="7" customWidth="1"/>
    <col min="9453" max="9453" width="11.25" style="7" customWidth="1"/>
    <col min="9454" max="9454" width="8" style="7" customWidth="1"/>
    <col min="9455" max="9455" width="10.875" style="7" customWidth="1"/>
    <col min="9456" max="9456" width="12.25" style="7" customWidth="1"/>
    <col min="9457" max="9457" width="8" style="7" customWidth="1"/>
    <col min="9458" max="9458" width="11.875" style="7" customWidth="1"/>
    <col min="9459" max="9459" width="8" style="7" customWidth="1"/>
    <col min="9460" max="9460" width="11" style="7" customWidth="1"/>
    <col min="9461" max="9461" width="12.25" style="7" customWidth="1"/>
    <col min="9462" max="9462" width="8" style="7" customWidth="1"/>
    <col min="9463" max="9463" width="11.875" style="7" customWidth="1"/>
    <col min="9464" max="9464" width="8" style="7" customWidth="1"/>
    <col min="9465" max="9465" width="12.25" style="7" customWidth="1"/>
    <col min="9466" max="9466" width="14.25" style="7" customWidth="1"/>
    <col min="9467" max="9467" width="8" style="7" customWidth="1"/>
    <col min="9468" max="9468" width="14" style="7" customWidth="1"/>
    <col min="9469" max="9469" width="8.875" style="7" customWidth="1"/>
    <col min="9470" max="9470" width="15.25" style="7" customWidth="1"/>
    <col min="9471" max="9471" width="16.375" style="7" customWidth="1"/>
    <col min="9472" max="9472" width="8.875" style="7" customWidth="1"/>
    <col min="9473" max="9473" width="9.625" style="7" customWidth="1"/>
    <col min="9474" max="9474" width="8.75" style="7" customWidth="1"/>
    <col min="9475" max="9475" width="12.375" style="7" customWidth="1"/>
    <col min="9476" max="9476" width="8.75" style="7" customWidth="1"/>
    <col min="9477" max="9477" width="11.5" style="7" customWidth="1"/>
    <col min="9478" max="9478" width="6.625" style="7" customWidth="1"/>
    <col min="9479" max="9479" width="11.25" style="7" customWidth="1"/>
    <col min="9480" max="9697" width="9" style="7" customWidth="1"/>
    <col min="9698" max="9698" width="9.625" style="7" customWidth="1"/>
    <col min="9699" max="9699" width="7.625" style="7" customWidth="1"/>
    <col min="9700" max="9700" width="18.5" style="7" customWidth="1"/>
    <col min="9701" max="9701" width="6.625" style="7" customWidth="1"/>
    <col min="9702" max="9702" width="12.25" style="7" customWidth="1"/>
    <col min="9703" max="9703" width="8" style="7" customWidth="1"/>
    <col min="9704" max="9704" width="10.625" style="7" customWidth="1"/>
    <col min="9705" max="9705" width="8" style="7" customWidth="1"/>
    <col min="9706" max="9706" width="11.375" style="7" customWidth="1"/>
    <col min="9707" max="9707" width="11.5" style="7" customWidth="1"/>
    <col min="9708" max="9708" width="8" style="7" customWidth="1"/>
    <col min="9709" max="9709" width="11.25" style="7" customWidth="1"/>
    <col min="9710" max="9710" width="8" style="7" customWidth="1"/>
    <col min="9711" max="9711" width="10.875" style="7" customWidth="1"/>
    <col min="9712" max="9712" width="12.25" style="7" customWidth="1"/>
    <col min="9713" max="9713" width="8" style="7" customWidth="1"/>
    <col min="9714" max="9714" width="11.875" style="7" customWidth="1"/>
    <col min="9715" max="9715" width="8" style="7" customWidth="1"/>
    <col min="9716" max="9716" width="11" style="7" customWidth="1"/>
    <col min="9717" max="9717" width="12.25" style="7" customWidth="1"/>
    <col min="9718" max="9718" width="8" style="7" customWidth="1"/>
    <col min="9719" max="9719" width="11.875" style="7" customWidth="1"/>
    <col min="9720" max="9720" width="8" style="7" customWidth="1"/>
    <col min="9721" max="9721" width="12.25" style="7" customWidth="1"/>
    <col min="9722" max="9722" width="14.25" style="7" customWidth="1"/>
    <col min="9723" max="9723" width="8" style="7" customWidth="1"/>
    <col min="9724" max="9724" width="14" style="7" customWidth="1"/>
    <col min="9725" max="9725" width="8.875" style="7" customWidth="1"/>
    <col min="9726" max="9726" width="15.25" style="7" customWidth="1"/>
    <col min="9727" max="9727" width="16.375" style="7" customWidth="1"/>
    <col min="9728" max="9728" width="8.875" style="7" customWidth="1"/>
    <col min="9729" max="9729" width="9.625" style="7" customWidth="1"/>
    <col min="9730" max="9730" width="8.75" style="7" customWidth="1"/>
    <col min="9731" max="9731" width="12.375" style="7" customWidth="1"/>
    <col min="9732" max="9732" width="8.75" style="7" customWidth="1"/>
    <col min="9733" max="9733" width="11.5" style="7" customWidth="1"/>
    <col min="9734" max="9734" width="6.625" style="7" customWidth="1"/>
    <col min="9735" max="9735" width="11.25" style="7" customWidth="1"/>
    <col min="9736" max="9953" width="9" style="7" customWidth="1"/>
    <col min="9954" max="9954" width="9.625" style="7" customWidth="1"/>
    <col min="9955" max="9955" width="7.625" style="7" customWidth="1"/>
    <col min="9956" max="9956" width="18.5" style="7" customWidth="1"/>
    <col min="9957" max="9957" width="6.625" style="7" customWidth="1"/>
    <col min="9958" max="9958" width="12.25" style="7" customWidth="1"/>
    <col min="9959" max="9959" width="8" style="7" customWidth="1"/>
    <col min="9960" max="9960" width="10.625" style="7" customWidth="1"/>
    <col min="9961" max="9961" width="8" style="7" customWidth="1"/>
    <col min="9962" max="9962" width="11.375" style="7" customWidth="1"/>
    <col min="9963" max="9963" width="11.5" style="7" customWidth="1"/>
    <col min="9964" max="9964" width="8" style="7" customWidth="1"/>
    <col min="9965" max="9965" width="11.25" style="7" customWidth="1"/>
    <col min="9966" max="9966" width="8" style="7" customWidth="1"/>
    <col min="9967" max="9967" width="10.875" style="7" customWidth="1"/>
    <col min="9968" max="9968" width="12.25" style="7" customWidth="1"/>
    <col min="9969" max="9969" width="8" style="7" customWidth="1"/>
    <col min="9970" max="9970" width="11.875" style="7" customWidth="1"/>
    <col min="9971" max="9971" width="8" style="7" customWidth="1"/>
    <col min="9972" max="9972" width="11" style="7" customWidth="1"/>
    <col min="9973" max="9973" width="12.25" style="7" customWidth="1"/>
    <col min="9974" max="9974" width="8" style="7" customWidth="1"/>
    <col min="9975" max="9975" width="11.875" style="7" customWidth="1"/>
    <col min="9976" max="9976" width="8" style="7" customWidth="1"/>
    <col min="9977" max="9977" width="12.25" style="7" customWidth="1"/>
    <col min="9978" max="9978" width="14.25" style="7" customWidth="1"/>
    <col min="9979" max="9979" width="8" style="7" customWidth="1"/>
    <col min="9980" max="9980" width="14" style="7" customWidth="1"/>
    <col min="9981" max="9981" width="8.875" style="7" customWidth="1"/>
    <col min="9982" max="9982" width="15.25" style="7" customWidth="1"/>
    <col min="9983" max="9983" width="16.375" style="7" customWidth="1"/>
    <col min="9984" max="9984" width="8.875" style="7" customWidth="1"/>
    <col min="9985" max="9985" width="9.625" style="7" customWidth="1"/>
    <col min="9986" max="9986" width="8.75" style="7" customWidth="1"/>
    <col min="9987" max="9987" width="12.375" style="7" customWidth="1"/>
    <col min="9988" max="9988" width="8.75" style="7" customWidth="1"/>
    <col min="9989" max="9989" width="11.5" style="7" customWidth="1"/>
    <col min="9990" max="9990" width="6.625" style="7" customWidth="1"/>
    <col min="9991" max="9991" width="11.25" style="7" customWidth="1"/>
    <col min="9992" max="10209" width="9" style="7" customWidth="1"/>
    <col min="10210" max="10210" width="9.625" style="7" customWidth="1"/>
    <col min="10211" max="10211" width="7.625" style="7" customWidth="1"/>
    <col min="10212" max="10212" width="18.5" style="7" customWidth="1"/>
    <col min="10213" max="10213" width="6.625" style="7" customWidth="1"/>
    <col min="10214" max="10214" width="12.25" style="7" customWidth="1"/>
    <col min="10215" max="10215" width="8" style="7" customWidth="1"/>
    <col min="10216" max="10216" width="10.625" style="7" customWidth="1"/>
    <col min="10217" max="10217" width="8" style="7" customWidth="1"/>
    <col min="10218" max="10218" width="11.375" style="7" customWidth="1"/>
    <col min="10219" max="10219" width="11.5" style="7" customWidth="1"/>
    <col min="10220" max="10220" width="8" style="7" customWidth="1"/>
    <col min="10221" max="10221" width="11.25" style="7" customWidth="1"/>
    <col min="10222" max="10222" width="8" style="7" customWidth="1"/>
    <col min="10223" max="10223" width="10.875" style="7" customWidth="1"/>
    <col min="10224" max="10224" width="12.25" style="7" customWidth="1"/>
    <col min="10225" max="10225" width="8" style="7" customWidth="1"/>
    <col min="10226" max="10226" width="11.875" style="7" customWidth="1"/>
    <col min="10227" max="10227" width="8" style="7" customWidth="1"/>
    <col min="10228" max="10228" width="11" style="7" customWidth="1"/>
    <col min="10229" max="10229" width="12.25" style="7" customWidth="1"/>
    <col min="10230" max="10230" width="8" style="7" customWidth="1"/>
    <col min="10231" max="10231" width="11.875" style="7" customWidth="1"/>
    <col min="10232" max="10232" width="8" style="7" customWidth="1"/>
    <col min="10233" max="10233" width="12.25" style="7" customWidth="1"/>
    <col min="10234" max="10234" width="14.25" style="7" customWidth="1"/>
    <col min="10235" max="10235" width="8" style="7" customWidth="1"/>
    <col min="10236" max="10236" width="14" style="7" customWidth="1"/>
    <col min="10237" max="10237" width="8.875" style="7" customWidth="1"/>
    <col min="10238" max="10238" width="15.25" style="7" customWidth="1"/>
    <col min="10239" max="10239" width="16.375" style="7" customWidth="1"/>
    <col min="10240" max="10240" width="8.875" style="7" customWidth="1"/>
    <col min="10241" max="10241" width="9.625" style="7" customWidth="1"/>
    <col min="10242" max="10242" width="8.75" style="7" customWidth="1"/>
    <col min="10243" max="10243" width="12.375" style="7" customWidth="1"/>
    <col min="10244" max="10244" width="8.75" style="7" customWidth="1"/>
    <col min="10245" max="10245" width="11.5" style="7" customWidth="1"/>
    <col min="10246" max="10246" width="6.625" style="7" customWidth="1"/>
    <col min="10247" max="10247" width="11.25" style="7" customWidth="1"/>
    <col min="10248" max="10465" width="9" style="7" customWidth="1"/>
    <col min="10466" max="10466" width="9.625" style="7" customWidth="1"/>
    <col min="10467" max="10467" width="7.625" style="7" customWidth="1"/>
    <col min="10468" max="10468" width="18.5" style="7" customWidth="1"/>
    <col min="10469" max="10469" width="6.625" style="7" customWidth="1"/>
    <col min="10470" max="10470" width="12.25" style="7" customWidth="1"/>
    <col min="10471" max="10471" width="8" style="7" customWidth="1"/>
    <col min="10472" max="10472" width="10.625" style="7" customWidth="1"/>
    <col min="10473" max="10473" width="8" style="7" customWidth="1"/>
    <col min="10474" max="10474" width="11.375" style="7" customWidth="1"/>
    <col min="10475" max="10475" width="11.5" style="7" customWidth="1"/>
    <col min="10476" max="10476" width="8" style="7" customWidth="1"/>
    <col min="10477" max="10477" width="11.25" style="7" customWidth="1"/>
    <col min="10478" max="10478" width="8" style="7" customWidth="1"/>
    <col min="10479" max="10479" width="10.875" style="7" customWidth="1"/>
    <col min="10480" max="10480" width="12.25" style="7" customWidth="1"/>
    <col min="10481" max="10481" width="8" style="7" customWidth="1"/>
    <col min="10482" max="10482" width="11.875" style="7" customWidth="1"/>
    <col min="10483" max="10483" width="8" style="7" customWidth="1"/>
    <col min="10484" max="10484" width="11" style="7" customWidth="1"/>
    <col min="10485" max="10485" width="12.25" style="7" customWidth="1"/>
    <col min="10486" max="10486" width="8" style="7" customWidth="1"/>
    <col min="10487" max="10487" width="11.875" style="7" customWidth="1"/>
    <col min="10488" max="10488" width="8" style="7" customWidth="1"/>
    <col min="10489" max="10489" width="12.25" style="7" customWidth="1"/>
    <col min="10490" max="10490" width="14.25" style="7" customWidth="1"/>
    <col min="10491" max="10491" width="8" style="7" customWidth="1"/>
    <col min="10492" max="10492" width="14" style="7" customWidth="1"/>
    <col min="10493" max="10493" width="8.875" style="7" customWidth="1"/>
    <col min="10494" max="10494" width="15.25" style="7" customWidth="1"/>
    <col min="10495" max="10495" width="16.375" style="7" customWidth="1"/>
    <col min="10496" max="10496" width="8.875" style="7" customWidth="1"/>
    <col min="10497" max="10497" width="9.625" style="7" customWidth="1"/>
    <col min="10498" max="10498" width="8.75" style="7" customWidth="1"/>
    <col min="10499" max="10499" width="12.375" style="7" customWidth="1"/>
    <col min="10500" max="10500" width="8.75" style="7" customWidth="1"/>
    <col min="10501" max="10501" width="11.5" style="7" customWidth="1"/>
    <col min="10502" max="10502" width="6.625" style="7" customWidth="1"/>
    <col min="10503" max="10503" width="11.25" style="7" customWidth="1"/>
    <col min="10504" max="10721" width="9" style="7" customWidth="1"/>
    <col min="10722" max="10722" width="9.625" style="7" customWidth="1"/>
    <col min="10723" max="10723" width="7.625" style="7" customWidth="1"/>
    <col min="10724" max="10724" width="18.5" style="7" customWidth="1"/>
    <col min="10725" max="10725" width="6.625" style="7" customWidth="1"/>
    <col min="10726" max="10726" width="12.25" style="7" customWidth="1"/>
    <col min="10727" max="10727" width="8" style="7" customWidth="1"/>
    <col min="10728" max="10728" width="10.625" style="7" customWidth="1"/>
    <col min="10729" max="10729" width="8" style="7" customWidth="1"/>
    <col min="10730" max="10730" width="11.375" style="7" customWidth="1"/>
    <col min="10731" max="10731" width="11.5" style="7" customWidth="1"/>
    <col min="10732" max="10732" width="8" style="7" customWidth="1"/>
    <col min="10733" max="10733" width="11.25" style="7" customWidth="1"/>
    <col min="10734" max="10734" width="8" style="7" customWidth="1"/>
    <col min="10735" max="10735" width="10.875" style="7" customWidth="1"/>
    <col min="10736" max="10736" width="12.25" style="7" customWidth="1"/>
    <col min="10737" max="10737" width="8" style="7" customWidth="1"/>
    <col min="10738" max="10738" width="11.875" style="7" customWidth="1"/>
    <col min="10739" max="10739" width="8" style="7" customWidth="1"/>
    <col min="10740" max="10740" width="11" style="7" customWidth="1"/>
    <col min="10741" max="10741" width="12.25" style="7" customWidth="1"/>
    <col min="10742" max="10742" width="8" style="7" customWidth="1"/>
    <col min="10743" max="10743" width="11.875" style="7" customWidth="1"/>
    <col min="10744" max="10744" width="8" style="7" customWidth="1"/>
    <col min="10745" max="10745" width="12.25" style="7" customWidth="1"/>
    <col min="10746" max="10746" width="14.25" style="7" customWidth="1"/>
    <col min="10747" max="10747" width="8" style="7" customWidth="1"/>
    <col min="10748" max="10748" width="14" style="7" customWidth="1"/>
    <col min="10749" max="10749" width="8.875" style="7" customWidth="1"/>
    <col min="10750" max="10750" width="15.25" style="7" customWidth="1"/>
    <col min="10751" max="10751" width="16.375" style="7" customWidth="1"/>
    <col min="10752" max="10752" width="8.875" style="7" customWidth="1"/>
    <col min="10753" max="10753" width="9.625" style="7" customWidth="1"/>
    <col min="10754" max="10754" width="8.75" style="7" customWidth="1"/>
    <col min="10755" max="10755" width="12.375" style="7" customWidth="1"/>
    <col min="10756" max="10756" width="8.75" style="7" customWidth="1"/>
    <col min="10757" max="10757" width="11.5" style="7" customWidth="1"/>
    <col min="10758" max="10758" width="6.625" style="7" customWidth="1"/>
    <col min="10759" max="10759" width="11.25" style="7" customWidth="1"/>
    <col min="10760" max="10977" width="9" style="7" customWidth="1"/>
    <col min="10978" max="10978" width="9.625" style="7" customWidth="1"/>
    <col min="10979" max="10979" width="7.625" style="7" customWidth="1"/>
    <col min="10980" max="10980" width="18.5" style="7" customWidth="1"/>
    <col min="10981" max="10981" width="6.625" style="7" customWidth="1"/>
    <col min="10982" max="10982" width="12.25" style="7" customWidth="1"/>
    <col min="10983" max="10983" width="8" style="7" customWidth="1"/>
    <col min="10984" max="10984" width="10.625" style="7" customWidth="1"/>
    <col min="10985" max="10985" width="8" style="7" customWidth="1"/>
    <col min="10986" max="10986" width="11.375" style="7" customWidth="1"/>
    <col min="10987" max="10987" width="11.5" style="7" customWidth="1"/>
    <col min="10988" max="10988" width="8" style="7" customWidth="1"/>
    <col min="10989" max="10989" width="11.25" style="7" customWidth="1"/>
    <col min="10990" max="10990" width="8" style="7" customWidth="1"/>
    <col min="10991" max="10991" width="10.875" style="7" customWidth="1"/>
    <col min="10992" max="10992" width="12.25" style="7" customWidth="1"/>
    <col min="10993" max="10993" width="8" style="7" customWidth="1"/>
    <col min="10994" max="10994" width="11.875" style="7" customWidth="1"/>
    <col min="10995" max="10995" width="8" style="7" customWidth="1"/>
    <col min="10996" max="10996" width="11" style="7" customWidth="1"/>
    <col min="10997" max="10997" width="12.25" style="7" customWidth="1"/>
    <col min="10998" max="10998" width="8" style="7" customWidth="1"/>
    <col min="10999" max="10999" width="11.875" style="7" customWidth="1"/>
    <col min="11000" max="11000" width="8" style="7" customWidth="1"/>
    <col min="11001" max="11001" width="12.25" style="7" customWidth="1"/>
    <col min="11002" max="11002" width="14.25" style="7" customWidth="1"/>
    <col min="11003" max="11003" width="8" style="7" customWidth="1"/>
    <col min="11004" max="11004" width="14" style="7" customWidth="1"/>
    <col min="11005" max="11005" width="8.875" style="7" customWidth="1"/>
    <col min="11006" max="11006" width="15.25" style="7" customWidth="1"/>
    <col min="11007" max="11007" width="16.375" style="7" customWidth="1"/>
    <col min="11008" max="11008" width="8.875" style="7" customWidth="1"/>
    <col min="11009" max="11009" width="9.625" style="7" customWidth="1"/>
    <col min="11010" max="11010" width="8.75" style="7" customWidth="1"/>
    <col min="11011" max="11011" width="12.375" style="7" customWidth="1"/>
    <col min="11012" max="11012" width="8.75" style="7" customWidth="1"/>
    <col min="11013" max="11013" width="11.5" style="7" customWidth="1"/>
    <col min="11014" max="11014" width="6.625" style="7" customWidth="1"/>
    <col min="11015" max="11015" width="11.25" style="7" customWidth="1"/>
    <col min="11016" max="11233" width="9" style="7" customWidth="1"/>
    <col min="11234" max="11234" width="9.625" style="7" customWidth="1"/>
    <col min="11235" max="11235" width="7.625" style="7" customWidth="1"/>
    <col min="11236" max="11236" width="18.5" style="7" customWidth="1"/>
    <col min="11237" max="11237" width="6.625" style="7" customWidth="1"/>
    <col min="11238" max="11238" width="12.25" style="7" customWidth="1"/>
    <col min="11239" max="11239" width="8" style="7" customWidth="1"/>
    <col min="11240" max="11240" width="10.625" style="7" customWidth="1"/>
    <col min="11241" max="11241" width="8" style="7" customWidth="1"/>
    <col min="11242" max="11242" width="11.375" style="7" customWidth="1"/>
    <col min="11243" max="11243" width="11.5" style="7" customWidth="1"/>
    <col min="11244" max="11244" width="8" style="7" customWidth="1"/>
    <col min="11245" max="11245" width="11.25" style="7" customWidth="1"/>
    <col min="11246" max="11246" width="8" style="7" customWidth="1"/>
    <col min="11247" max="11247" width="10.875" style="7" customWidth="1"/>
    <col min="11248" max="11248" width="12.25" style="7" customWidth="1"/>
    <col min="11249" max="11249" width="8" style="7" customWidth="1"/>
    <col min="11250" max="11250" width="11.875" style="7" customWidth="1"/>
    <col min="11251" max="11251" width="8" style="7" customWidth="1"/>
    <col min="11252" max="11252" width="11" style="7" customWidth="1"/>
    <col min="11253" max="11253" width="12.25" style="7" customWidth="1"/>
    <col min="11254" max="11254" width="8" style="7" customWidth="1"/>
    <col min="11255" max="11255" width="11.875" style="7" customWidth="1"/>
    <col min="11256" max="11256" width="8" style="7" customWidth="1"/>
    <col min="11257" max="11257" width="12.25" style="7" customWidth="1"/>
    <col min="11258" max="11258" width="14.25" style="7" customWidth="1"/>
    <col min="11259" max="11259" width="8" style="7" customWidth="1"/>
    <col min="11260" max="11260" width="14" style="7" customWidth="1"/>
    <col min="11261" max="11261" width="8.875" style="7" customWidth="1"/>
    <col min="11262" max="11262" width="15.25" style="7" customWidth="1"/>
    <col min="11263" max="11263" width="16.375" style="7" customWidth="1"/>
    <col min="11264" max="11264" width="8.875" style="7" customWidth="1"/>
    <col min="11265" max="11265" width="9.625" style="7" customWidth="1"/>
    <col min="11266" max="11266" width="8.75" style="7" customWidth="1"/>
    <col min="11267" max="11267" width="12.375" style="7" customWidth="1"/>
    <col min="11268" max="11268" width="8.75" style="7" customWidth="1"/>
    <col min="11269" max="11269" width="11.5" style="7" customWidth="1"/>
    <col min="11270" max="11270" width="6.625" style="7" customWidth="1"/>
    <col min="11271" max="11271" width="11.25" style="7" customWidth="1"/>
    <col min="11272" max="11489" width="9" style="7" customWidth="1"/>
    <col min="11490" max="11490" width="9.625" style="7" customWidth="1"/>
    <col min="11491" max="11491" width="7.625" style="7" customWidth="1"/>
    <col min="11492" max="11492" width="18.5" style="7" customWidth="1"/>
    <col min="11493" max="11493" width="6.625" style="7" customWidth="1"/>
    <col min="11494" max="11494" width="12.25" style="7" customWidth="1"/>
    <col min="11495" max="11495" width="8" style="7" customWidth="1"/>
    <col min="11496" max="11496" width="10.625" style="7" customWidth="1"/>
    <col min="11497" max="11497" width="8" style="7" customWidth="1"/>
    <col min="11498" max="11498" width="11.375" style="7" customWidth="1"/>
    <col min="11499" max="11499" width="11.5" style="7" customWidth="1"/>
    <col min="11500" max="11500" width="8" style="7" customWidth="1"/>
    <col min="11501" max="11501" width="11.25" style="7" customWidth="1"/>
    <col min="11502" max="11502" width="8" style="7" customWidth="1"/>
    <col min="11503" max="11503" width="10.875" style="7" customWidth="1"/>
    <col min="11504" max="11504" width="12.25" style="7" customWidth="1"/>
    <col min="11505" max="11505" width="8" style="7" customWidth="1"/>
    <col min="11506" max="11506" width="11.875" style="7" customWidth="1"/>
    <col min="11507" max="11507" width="8" style="7" customWidth="1"/>
    <col min="11508" max="11508" width="11" style="7" customWidth="1"/>
    <col min="11509" max="11509" width="12.25" style="7" customWidth="1"/>
    <col min="11510" max="11510" width="8" style="7" customWidth="1"/>
    <col min="11511" max="11511" width="11.875" style="7" customWidth="1"/>
    <col min="11512" max="11512" width="8" style="7" customWidth="1"/>
    <col min="11513" max="11513" width="12.25" style="7" customWidth="1"/>
    <col min="11514" max="11514" width="14.25" style="7" customWidth="1"/>
    <col min="11515" max="11515" width="8" style="7" customWidth="1"/>
    <col min="11516" max="11516" width="14" style="7" customWidth="1"/>
    <col min="11517" max="11517" width="8.875" style="7" customWidth="1"/>
    <col min="11518" max="11518" width="15.25" style="7" customWidth="1"/>
    <col min="11519" max="11519" width="16.375" style="7" customWidth="1"/>
    <col min="11520" max="11520" width="8.875" style="7" customWidth="1"/>
    <col min="11521" max="11521" width="9.625" style="7" customWidth="1"/>
    <col min="11522" max="11522" width="8.75" style="7" customWidth="1"/>
    <col min="11523" max="11523" width="12.375" style="7" customWidth="1"/>
    <col min="11524" max="11524" width="8.75" style="7" customWidth="1"/>
    <col min="11525" max="11525" width="11.5" style="7" customWidth="1"/>
    <col min="11526" max="11526" width="6.625" style="7" customWidth="1"/>
    <col min="11527" max="11527" width="11.25" style="7" customWidth="1"/>
    <col min="11528" max="11745" width="9" style="7" customWidth="1"/>
    <col min="11746" max="11746" width="9.625" style="7" customWidth="1"/>
    <col min="11747" max="11747" width="7.625" style="7" customWidth="1"/>
    <col min="11748" max="11748" width="18.5" style="7" customWidth="1"/>
    <col min="11749" max="11749" width="6.625" style="7" customWidth="1"/>
    <col min="11750" max="11750" width="12.25" style="7" customWidth="1"/>
    <col min="11751" max="11751" width="8" style="7" customWidth="1"/>
    <col min="11752" max="11752" width="10.625" style="7" customWidth="1"/>
    <col min="11753" max="11753" width="8" style="7" customWidth="1"/>
    <col min="11754" max="11754" width="11.375" style="7" customWidth="1"/>
    <col min="11755" max="11755" width="11.5" style="7" customWidth="1"/>
    <col min="11756" max="11756" width="8" style="7" customWidth="1"/>
    <col min="11757" max="11757" width="11.25" style="7" customWidth="1"/>
    <col min="11758" max="11758" width="8" style="7" customWidth="1"/>
    <col min="11759" max="11759" width="10.875" style="7" customWidth="1"/>
    <col min="11760" max="11760" width="12.25" style="7" customWidth="1"/>
    <col min="11761" max="11761" width="8" style="7" customWidth="1"/>
    <col min="11762" max="11762" width="11.875" style="7" customWidth="1"/>
    <col min="11763" max="11763" width="8" style="7" customWidth="1"/>
    <col min="11764" max="11764" width="11" style="7" customWidth="1"/>
    <col min="11765" max="11765" width="12.25" style="7" customWidth="1"/>
    <col min="11766" max="11766" width="8" style="7" customWidth="1"/>
    <col min="11767" max="11767" width="11.875" style="7" customWidth="1"/>
    <col min="11768" max="11768" width="8" style="7" customWidth="1"/>
    <col min="11769" max="11769" width="12.25" style="7" customWidth="1"/>
    <col min="11770" max="11770" width="14.25" style="7" customWidth="1"/>
    <col min="11771" max="11771" width="8" style="7" customWidth="1"/>
    <col min="11772" max="11772" width="14" style="7" customWidth="1"/>
    <col min="11773" max="11773" width="8.875" style="7" customWidth="1"/>
    <col min="11774" max="11774" width="15.25" style="7" customWidth="1"/>
    <col min="11775" max="11775" width="16.375" style="7" customWidth="1"/>
    <col min="11776" max="11776" width="8.875" style="7" customWidth="1"/>
    <col min="11777" max="11777" width="9.625" style="7" customWidth="1"/>
    <col min="11778" max="11778" width="8.75" style="7" customWidth="1"/>
    <col min="11779" max="11779" width="12.375" style="7" customWidth="1"/>
    <col min="11780" max="11780" width="8.75" style="7" customWidth="1"/>
    <col min="11781" max="11781" width="11.5" style="7" customWidth="1"/>
    <col min="11782" max="11782" width="6.625" style="7" customWidth="1"/>
    <col min="11783" max="11783" width="11.25" style="7" customWidth="1"/>
    <col min="11784" max="12001" width="9" style="7" customWidth="1"/>
    <col min="12002" max="12002" width="9.625" style="7" customWidth="1"/>
    <col min="12003" max="12003" width="7.625" style="7" customWidth="1"/>
    <col min="12004" max="12004" width="18.5" style="7" customWidth="1"/>
    <col min="12005" max="12005" width="6.625" style="7" customWidth="1"/>
    <col min="12006" max="12006" width="12.25" style="7" customWidth="1"/>
    <col min="12007" max="12007" width="8" style="7" customWidth="1"/>
    <col min="12008" max="12008" width="10.625" style="7" customWidth="1"/>
    <col min="12009" max="12009" width="8" style="7" customWidth="1"/>
    <col min="12010" max="12010" width="11.375" style="7" customWidth="1"/>
    <col min="12011" max="12011" width="11.5" style="7" customWidth="1"/>
    <col min="12012" max="12012" width="8" style="7" customWidth="1"/>
    <col min="12013" max="12013" width="11.25" style="7" customWidth="1"/>
    <col min="12014" max="12014" width="8" style="7" customWidth="1"/>
    <col min="12015" max="12015" width="10.875" style="7" customWidth="1"/>
    <col min="12016" max="12016" width="12.25" style="7" customWidth="1"/>
    <col min="12017" max="12017" width="8" style="7" customWidth="1"/>
    <col min="12018" max="12018" width="11.875" style="7" customWidth="1"/>
    <col min="12019" max="12019" width="8" style="7" customWidth="1"/>
    <col min="12020" max="12020" width="11" style="7" customWidth="1"/>
    <col min="12021" max="12021" width="12.25" style="7" customWidth="1"/>
    <col min="12022" max="12022" width="8" style="7" customWidth="1"/>
    <col min="12023" max="12023" width="11.875" style="7" customWidth="1"/>
    <col min="12024" max="12024" width="8" style="7" customWidth="1"/>
    <col min="12025" max="12025" width="12.25" style="7" customWidth="1"/>
    <col min="12026" max="12026" width="14.25" style="7" customWidth="1"/>
    <col min="12027" max="12027" width="8" style="7" customWidth="1"/>
    <col min="12028" max="12028" width="14" style="7" customWidth="1"/>
    <col min="12029" max="12029" width="8.875" style="7" customWidth="1"/>
    <col min="12030" max="12030" width="15.25" style="7" customWidth="1"/>
    <col min="12031" max="12031" width="16.375" style="7" customWidth="1"/>
    <col min="12032" max="12032" width="8.875" style="7" customWidth="1"/>
    <col min="12033" max="12033" width="9.625" style="7" customWidth="1"/>
    <col min="12034" max="12034" width="8.75" style="7" customWidth="1"/>
    <col min="12035" max="12035" width="12.375" style="7" customWidth="1"/>
    <col min="12036" max="12036" width="8.75" style="7" customWidth="1"/>
    <col min="12037" max="12037" width="11.5" style="7" customWidth="1"/>
    <col min="12038" max="12038" width="6.625" style="7" customWidth="1"/>
    <col min="12039" max="12039" width="11.25" style="7" customWidth="1"/>
    <col min="12040" max="12257" width="9" style="7" customWidth="1"/>
    <col min="12258" max="12258" width="9.625" style="7" customWidth="1"/>
    <col min="12259" max="12259" width="7.625" style="7" customWidth="1"/>
    <col min="12260" max="12260" width="18.5" style="7" customWidth="1"/>
    <col min="12261" max="12261" width="6.625" style="7" customWidth="1"/>
    <col min="12262" max="12262" width="12.25" style="7" customWidth="1"/>
    <col min="12263" max="12263" width="8" style="7" customWidth="1"/>
    <col min="12264" max="12264" width="10.625" style="7" customWidth="1"/>
    <col min="12265" max="12265" width="8" style="7" customWidth="1"/>
    <col min="12266" max="12266" width="11.375" style="7" customWidth="1"/>
    <col min="12267" max="12267" width="11.5" style="7" customWidth="1"/>
    <col min="12268" max="12268" width="8" style="7" customWidth="1"/>
    <col min="12269" max="12269" width="11.25" style="7" customWidth="1"/>
    <col min="12270" max="12270" width="8" style="7" customWidth="1"/>
    <col min="12271" max="12271" width="10.875" style="7" customWidth="1"/>
    <col min="12272" max="12272" width="12.25" style="7" customWidth="1"/>
    <col min="12273" max="12273" width="8" style="7" customWidth="1"/>
    <col min="12274" max="12274" width="11.875" style="7" customWidth="1"/>
    <col min="12275" max="12275" width="8" style="7" customWidth="1"/>
    <col min="12276" max="12276" width="11" style="7" customWidth="1"/>
    <col min="12277" max="12277" width="12.25" style="7" customWidth="1"/>
    <col min="12278" max="12278" width="8" style="7" customWidth="1"/>
    <col min="12279" max="12279" width="11.875" style="7" customWidth="1"/>
    <col min="12280" max="12280" width="8" style="7" customWidth="1"/>
    <col min="12281" max="12281" width="12.25" style="7" customWidth="1"/>
    <col min="12282" max="12282" width="14.25" style="7" customWidth="1"/>
    <col min="12283" max="12283" width="8" style="7" customWidth="1"/>
    <col min="12284" max="12284" width="14" style="7" customWidth="1"/>
    <col min="12285" max="12285" width="8.875" style="7" customWidth="1"/>
    <col min="12286" max="12286" width="15.25" style="7" customWidth="1"/>
    <col min="12287" max="12287" width="16.375" style="7" customWidth="1"/>
    <col min="12288" max="12288" width="8.875" style="7" customWidth="1"/>
    <col min="12289" max="12289" width="9.625" style="7" customWidth="1"/>
    <col min="12290" max="12290" width="8.75" style="7" customWidth="1"/>
    <col min="12291" max="12291" width="12.375" style="7" customWidth="1"/>
    <col min="12292" max="12292" width="8.75" style="7" customWidth="1"/>
    <col min="12293" max="12293" width="11.5" style="7" customWidth="1"/>
    <col min="12294" max="12294" width="6.625" style="7" customWidth="1"/>
    <col min="12295" max="12295" width="11.25" style="7" customWidth="1"/>
    <col min="12296" max="12513" width="9" style="7" customWidth="1"/>
    <col min="12514" max="12514" width="9.625" style="7" customWidth="1"/>
    <col min="12515" max="12515" width="7.625" style="7" customWidth="1"/>
    <col min="12516" max="12516" width="18.5" style="7" customWidth="1"/>
    <col min="12517" max="12517" width="6.625" style="7" customWidth="1"/>
    <col min="12518" max="12518" width="12.25" style="7" customWidth="1"/>
    <col min="12519" max="12519" width="8" style="7" customWidth="1"/>
    <col min="12520" max="12520" width="10.625" style="7" customWidth="1"/>
    <col min="12521" max="12521" width="8" style="7" customWidth="1"/>
    <col min="12522" max="12522" width="11.375" style="7" customWidth="1"/>
    <col min="12523" max="12523" width="11.5" style="7" customWidth="1"/>
    <col min="12524" max="12524" width="8" style="7" customWidth="1"/>
    <col min="12525" max="12525" width="11.25" style="7" customWidth="1"/>
    <col min="12526" max="12526" width="8" style="7" customWidth="1"/>
    <col min="12527" max="12527" width="10.875" style="7" customWidth="1"/>
    <col min="12528" max="12528" width="12.25" style="7" customWidth="1"/>
    <col min="12529" max="12529" width="8" style="7" customWidth="1"/>
    <col min="12530" max="12530" width="11.875" style="7" customWidth="1"/>
    <col min="12531" max="12531" width="8" style="7" customWidth="1"/>
    <col min="12532" max="12532" width="11" style="7" customWidth="1"/>
    <col min="12533" max="12533" width="12.25" style="7" customWidth="1"/>
    <col min="12534" max="12534" width="8" style="7" customWidth="1"/>
    <col min="12535" max="12535" width="11.875" style="7" customWidth="1"/>
    <col min="12536" max="12536" width="8" style="7" customWidth="1"/>
    <col min="12537" max="12537" width="12.25" style="7" customWidth="1"/>
    <col min="12538" max="12538" width="14.25" style="7" customWidth="1"/>
    <col min="12539" max="12539" width="8" style="7" customWidth="1"/>
    <col min="12540" max="12540" width="14" style="7" customWidth="1"/>
    <col min="12541" max="12541" width="8.875" style="7" customWidth="1"/>
    <col min="12542" max="12542" width="15.25" style="7" customWidth="1"/>
    <col min="12543" max="12543" width="16.375" style="7" customWidth="1"/>
    <col min="12544" max="12544" width="8.875" style="7" customWidth="1"/>
    <col min="12545" max="12545" width="9.625" style="7" customWidth="1"/>
    <col min="12546" max="12546" width="8.75" style="7" customWidth="1"/>
    <col min="12547" max="12547" width="12.375" style="7" customWidth="1"/>
    <col min="12548" max="12548" width="8.75" style="7" customWidth="1"/>
    <col min="12549" max="12549" width="11.5" style="7" customWidth="1"/>
    <col min="12550" max="12550" width="6.625" style="7" customWidth="1"/>
    <col min="12551" max="12551" width="11.25" style="7" customWidth="1"/>
    <col min="12552" max="12769" width="9" style="7" customWidth="1"/>
    <col min="12770" max="12770" width="9.625" style="7" customWidth="1"/>
    <col min="12771" max="12771" width="7.625" style="7" customWidth="1"/>
    <col min="12772" max="12772" width="18.5" style="7" customWidth="1"/>
    <col min="12773" max="12773" width="6.625" style="7" customWidth="1"/>
    <col min="12774" max="12774" width="12.25" style="7" customWidth="1"/>
    <col min="12775" max="12775" width="8" style="7" customWidth="1"/>
    <col min="12776" max="12776" width="10.625" style="7" customWidth="1"/>
    <col min="12777" max="12777" width="8" style="7" customWidth="1"/>
    <col min="12778" max="12778" width="11.375" style="7" customWidth="1"/>
    <col min="12779" max="12779" width="11.5" style="7" customWidth="1"/>
    <col min="12780" max="12780" width="8" style="7" customWidth="1"/>
    <col min="12781" max="12781" width="11.25" style="7" customWidth="1"/>
    <col min="12782" max="12782" width="8" style="7" customWidth="1"/>
    <col min="12783" max="12783" width="10.875" style="7" customWidth="1"/>
    <col min="12784" max="12784" width="12.25" style="7" customWidth="1"/>
    <col min="12785" max="12785" width="8" style="7" customWidth="1"/>
    <col min="12786" max="12786" width="11.875" style="7" customWidth="1"/>
    <col min="12787" max="12787" width="8" style="7" customWidth="1"/>
    <col min="12788" max="12788" width="11" style="7" customWidth="1"/>
    <col min="12789" max="12789" width="12.25" style="7" customWidth="1"/>
    <col min="12790" max="12790" width="8" style="7" customWidth="1"/>
    <col min="12791" max="12791" width="11.875" style="7" customWidth="1"/>
    <col min="12792" max="12792" width="8" style="7" customWidth="1"/>
    <col min="12793" max="12793" width="12.25" style="7" customWidth="1"/>
    <col min="12794" max="12794" width="14.25" style="7" customWidth="1"/>
    <col min="12795" max="12795" width="8" style="7" customWidth="1"/>
    <col min="12796" max="12796" width="14" style="7" customWidth="1"/>
    <col min="12797" max="12797" width="8.875" style="7" customWidth="1"/>
    <col min="12798" max="12798" width="15.25" style="7" customWidth="1"/>
    <col min="12799" max="12799" width="16.375" style="7" customWidth="1"/>
    <col min="12800" max="12800" width="8.875" style="7" customWidth="1"/>
    <col min="12801" max="12801" width="9.625" style="7" customWidth="1"/>
    <col min="12802" max="12802" width="8.75" style="7" customWidth="1"/>
    <col min="12803" max="12803" width="12.375" style="7" customWidth="1"/>
    <col min="12804" max="12804" width="8.75" style="7" customWidth="1"/>
    <col min="12805" max="12805" width="11.5" style="7" customWidth="1"/>
    <col min="12806" max="12806" width="6.625" style="7" customWidth="1"/>
    <col min="12807" max="12807" width="11.25" style="7" customWidth="1"/>
    <col min="12808" max="13025" width="9" style="7" customWidth="1"/>
    <col min="13026" max="13026" width="9.625" style="7" customWidth="1"/>
    <col min="13027" max="13027" width="7.625" style="7" customWidth="1"/>
    <col min="13028" max="13028" width="18.5" style="7" customWidth="1"/>
    <col min="13029" max="13029" width="6.625" style="7" customWidth="1"/>
    <col min="13030" max="13030" width="12.25" style="7" customWidth="1"/>
    <col min="13031" max="13031" width="8" style="7" customWidth="1"/>
    <col min="13032" max="13032" width="10.625" style="7" customWidth="1"/>
    <col min="13033" max="13033" width="8" style="7" customWidth="1"/>
    <col min="13034" max="13034" width="11.375" style="7" customWidth="1"/>
    <col min="13035" max="13035" width="11.5" style="7" customWidth="1"/>
    <col min="13036" max="13036" width="8" style="7" customWidth="1"/>
    <col min="13037" max="13037" width="11.25" style="7" customWidth="1"/>
    <col min="13038" max="13038" width="8" style="7" customWidth="1"/>
    <col min="13039" max="13039" width="10.875" style="7" customWidth="1"/>
    <col min="13040" max="13040" width="12.25" style="7" customWidth="1"/>
    <col min="13041" max="13041" width="8" style="7" customWidth="1"/>
    <col min="13042" max="13042" width="11.875" style="7" customWidth="1"/>
    <col min="13043" max="13043" width="8" style="7" customWidth="1"/>
    <col min="13044" max="13044" width="11" style="7" customWidth="1"/>
    <col min="13045" max="13045" width="12.25" style="7" customWidth="1"/>
    <col min="13046" max="13046" width="8" style="7" customWidth="1"/>
    <col min="13047" max="13047" width="11.875" style="7" customWidth="1"/>
    <col min="13048" max="13048" width="8" style="7" customWidth="1"/>
    <col min="13049" max="13049" width="12.25" style="7" customWidth="1"/>
    <col min="13050" max="13050" width="14.25" style="7" customWidth="1"/>
    <col min="13051" max="13051" width="8" style="7" customWidth="1"/>
    <col min="13052" max="13052" width="14" style="7" customWidth="1"/>
    <col min="13053" max="13053" width="8.875" style="7" customWidth="1"/>
    <col min="13054" max="13054" width="15.25" style="7" customWidth="1"/>
    <col min="13055" max="13055" width="16.375" style="7" customWidth="1"/>
    <col min="13056" max="13056" width="8.875" style="7" customWidth="1"/>
    <col min="13057" max="13057" width="9.625" style="7" customWidth="1"/>
    <col min="13058" max="13058" width="8.75" style="7" customWidth="1"/>
    <col min="13059" max="13059" width="12.375" style="7" customWidth="1"/>
    <col min="13060" max="13060" width="8.75" style="7" customWidth="1"/>
    <col min="13061" max="13061" width="11.5" style="7" customWidth="1"/>
    <col min="13062" max="13062" width="6.625" style="7" customWidth="1"/>
    <col min="13063" max="13063" width="11.25" style="7" customWidth="1"/>
    <col min="13064" max="13281" width="9" style="7" customWidth="1"/>
    <col min="13282" max="13282" width="9.625" style="7" customWidth="1"/>
    <col min="13283" max="13283" width="7.625" style="7" customWidth="1"/>
    <col min="13284" max="13284" width="18.5" style="7" customWidth="1"/>
    <col min="13285" max="13285" width="6.625" style="7" customWidth="1"/>
    <col min="13286" max="13286" width="12.25" style="7" customWidth="1"/>
    <col min="13287" max="13287" width="8" style="7" customWidth="1"/>
    <col min="13288" max="13288" width="10.625" style="7" customWidth="1"/>
    <col min="13289" max="13289" width="8" style="7" customWidth="1"/>
    <col min="13290" max="13290" width="11.375" style="7" customWidth="1"/>
    <col min="13291" max="13291" width="11.5" style="7" customWidth="1"/>
    <col min="13292" max="13292" width="8" style="7" customWidth="1"/>
    <col min="13293" max="13293" width="11.25" style="7" customWidth="1"/>
    <col min="13294" max="13294" width="8" style="7" customWidth="1"/>
    <col min="13295" max="13295" width="10.875" style="7" customWidth="1"/>
    <col min="13296" max="13296" width="12.25" style="7" customWidth="1"/>
    <col min="13297" max="13297" width="8" style="7" customWidth="1"/>
    <col min="13298" max="13298" width="11.875" style="7" customWidth="1"/>
    <col min="13299" max="13299" width="8" style="7" customWidth="1"/>
    <col min="13300" max="13300" width="11" style="7" customWidth="1"/>
    <col min="13301" max="13301" width="12.25" style="7" customWidth="1"/>
    <col min="13302" max="13302" width="8" style="7" customWidth="1"/>
    <col min="13303" max="13303" width="11.875" style="7" customWidth="1"/>
    <col min="13304" max="13304" width="8" style="7" customWidth="1"/>
    <col min="13305" max="13305" width="12.25" style="7" customWidth="1"/>
    <col min="13306" max="13306" width="14.25" style="7" customWidth="1"/>
    <col min="13307" max="13307" width="8" style="7" customWidth="1"/>
    <col min="13308" max="13308" width="14" style="7" customWidth="1"/>
    <col min="13309" max="13309" width="8.875" style="7" customWidth="1"/>
    <col min="13310" max="13310" width="15.25" style="7" customWidth="1"/>
    <col min="13311" max="13311" width="16.375" style="7" customWidth="1"/>
    <col min="13312" max="13312" width="8.875" style="7" customWidth="1"/>
    <col min="13313" max="13313" width="9.625" style="7" customWidth="1"/>
    <col min="13314" max="13314" width="8.75" style="7" customWidth="1"/>
    <col min="13315" max="13315" width="12.375" style="7" customWidth="1"/>
    <col min="13316" max="13316" width="8.75" style="7" customWidth="1"/>
    <col min="13317" max="13317" width="11.5" style="7" customWidth="1"/>
    <col min="13318" max="13318" width="6.625" style="7" customWidth="1"/>
    <col min="13319" max="13319" width="11.25" style="7" customWidth="1"/>
    <col min="13320" max="13537" width="9" style="7" customWidth="1"/>
    <col min="13538" max="13538" width="9.625" style="7" customWidth="1"/>
    <col min="13539" max="13539" width="7.625" style="7" customWidth="1"/>
    <col min="13540" max="13540" width="18.5" style="7" customWidth="1"/>
    <col min="13541" max="13541" width="6.625" style="7" customWidth="1"/>
    <col min="13542" max="13542" width="12.25" style="7" customWidth="1"/>
    <col min="13543" max="13543" width="8" style="7" customWidth="1"/>
    <col min="13544" max="13544" width="10.625" style="7" customWidth="1"/>
    <col min="13545" max="13545" width="8" style="7" customWidth="1"/>
    <col min="13546" max="13546" width="11.375" style="7" customWidth="1"/>
    <col min="13547" max="13547" width="11.5" style="7" customWidth="1"/>
    <col min="13548" max="13548" width="8" style="7" customWidth="1"/>
    <col min="13549" max="13549" width="11.25" style="7" customWidth="1"/>
    <col min="13550" max="13550" width="8" style="7" customWidth="1"/>
    <col min="13551" max="13551" width="10.875" style="7" customWidth="1"/>
    <col min="13552" max="13552" width="12.25" style="7" customWidth="1"/>
    <col min="13553" max="13553" width="8" style="7" customWidth="1"/>
    <col min="13554" max="13554" width="11.875" style="7" customWidth="1"/>
    <col min="13555" max="13555" width="8" style="7" customWidth="1"/>
    <col min="13556" max="13556" width="11" style="7" customWidth="1"/>
    <col min="13557" max="13557" width="12.25" style="7" customWidth="1"/>
    <col min="13558" max="13558" width="8" style="7" customWidth="1"/>
    <col min="13559" max="13559" width="11.875" style="7" customWidth="1"/>
    <col min="13560" max="13560" width="8" style="7" customWidth="1"/>
    <col min="13561" max="13561" width="12.25" style="7" customWidth="1"/>
    <col min="13562" max="13562" width="14.25" style="7" customWidth="1"/>
    <col min="13563" max="13563" width="8" style="7" customWidth="1"/>
    <col min="13564" max="13564" width="14" style="7" customWidth="1"/>
    <col min="13565" max="13565" width="8.875" style="7" customWidth="1"/>
    <col min="13566" max="13566" width="15.25" style="7" customWidth="1"/>
    <col min="13567" max="13567" width="16.375" style="7" customWidth="1"/>
    <col min="13568" max="13568" width="8.875" style="7" customWidth="1"/>
    <col min="13569" max="13569" width="9.625" style="7" customWidth="1"/>
    <col min="13570" max="13570" width="8.75" style="7" customWidth="1"/>
    <col min="13571" max="13571" width="12.375" style="7" customWidth="1"/>
    <col min="13572" max="13572" width="8.75" style="7" customWidth="1"/>
    <col min="13573" max="13573" width="11.5" style="7" customWidth="1"/>
    <col min="13574" max="13574" width="6.625" style="7" customWidth="1"/>
    <col min="13575" max="13575" width="11.25" style="7" customWidth="1"/>
    <col min="13576" max="13793" width="9" style="7" customWidth="1"/>
    <col min="13794" max="13794" width="9.625" style="7" customWidth="1"/>
    <col min="13795" max="13795" width="7.625" style="7" customWidth="1"/>
    <col min="13796" max="13796" width="18.5" style="7" customWidth="1"/>
    <col min="13797" max="13797" width="6.625" style="7" customWidth="1"/>
    <col min="13798" max="13798" width="12.25" style="7" customWidth="1"/>
    <col min="13799" max="13799" width="8" style="7" customWidth="1"/>
    <col min="13800" max="13800" width="10.625" style="7" customWidth="1"/>
    <col min="13801" max="13801" width="8" style="7" customWidth="1"/>
    <col min="13802" max="13802" width="11.375" style="7" customWidth="1"/>
    <col min="13803" max="13803" width="11.5" style="7" customWidth="1"/>
    <col min="13804" max="13804" width="8" style="7" customWidth="1"/>
    <col min="13805" max="13805" width="11.25" style="7" customWidth="1"/>
    <col min="13806" max="13806" width="8" style="7" customWidth="1"/>
    <col min="13807" max="13807" width="10.875" style="7" customWidth="1"/>
    <col min="13808" max="13808" width="12.25" style="7" customWidth="1"/>
    <col min="13809" max="13809" width="8" style="7" customWidth="1"/>
    <col min="13810" max="13810" width="11.875" style="7" customWidth="1"/>
    <col min="13811" max="13811" width="8" style="7" customWidth="1"/>
    <col min="13812" max="13812" width="11" style="7" customWidth="1"/>
    <col min="13813" max="13813" width="12.25" style="7" customWidth="1"/>
    <col min="13814" max="13814" width="8" style="7" customWidth="1"/>
    <col min="13815" max="13815" width="11.875" style="7" customWidth="1"/>
    <col min="13816" max="13816" width="8" style="7" customWidth="1"/>
    <col min="13817" max="13817" width="12.25" style="7" customWidth="1"/>
    <col min="13818" max="13818" width="14.25" style="7" customWidth="1"/>
    <col min="13819" max="13819" width="8" style="7" customWidth="1"/>
    <col min="13820" max="13820" width="14" style="7" customWidth="1"/>
    <col min="13821" max="13821" width="8.875" style="7" customWidth="1"/>
    <col min="13822" max="13822" width="15.25" style="7" customWidth="1"/>
    <col min="13823" max="13823" width="16.375" style="7" customWidth="1"/>
    <col min="13824" max="13824" width="8.875" style="7" customWidth="1"/>
    <col min="13825" max="13825" width="9.625" style="7" customWidth="1"/>
    <col min="13826" max="13826" width="8.75" style="7" customWidth="1"/>
    <col min="13827" max="13827" width="12.375" style="7" customWidth="1"/>
    <col min="13828" max="13828" width="8.75" style="7" customWidth="1"/>
    <col min="13829" max="13829" width="11.5" style="7" customWidth="1"/>
    <col min="13830" max="13830" width="6.625" style="7" customWidth="1"/>
    <col min="13831" max="13831" width="11.25" style="7" customWidth="1"/>
    <col min="13832" max="14049" width="9" style="7" customWidth="1"/>
    <col min="14050" max="14050" width="9.625" style="7" customWidth="1"/>
    <col min="14051" max="14051" width="7.625" style="7" customWidth="1"/>
    <col min="14052" max="14052" width="18.5" style="7" customWidth="1"/>
    <col min="14053" max="14053" width="6.625" style="7" customWidth="1"/>
    <col min="14054" max="14054" width="12.25" style="7" customWidth="1"/>
    <col min="14055" max="14055" width="8" style="7" customWidth="1"/>
    <col min="14056" max="14056" width="10.625" style="7" customWidth="1"/>
    <col min="14057" max="14057" width="8" style="7" customWidth="1"/>
    <col min="14058" max="14058" width="11.375" style="7" customWidth="1"/>
    <col min="14059" max="14059" width="11.5" style="7" customWidth="1"/>
    <col min="14060" max="14060" width="8" style="7" customWidth="1"/>
    <col min="14061" max="14061" width="11.25" style="7" customWidth="1"/>
    <col min="14062" max="14062" width="8" style="7" customWidth="1"/>
    <col min="14063" max="14063" width="10.875" style="7" customWidth="1"/>
    <col min="14064" max="14064" width="12.25" style="7" customWidth="1"/>
    <col min="14065" max="14065" width="8" style="7" customWidth="1"/>
    <col min="14066" max="14066" width="11.875" style="7" customWidth="1"/>
    <col min="14067" max="14067" width="8" style="7" customWidth="1"/>
    <col min="14068" max="14068" width="11" style="7" customWidth="1"/>
    <col min="14069" max="14069" width="12.25" style="7" customWidth="1"/>
    <col min="14070" max="14070" width="8" style="7" customWidth="1"/>
    <col min="14071" max="14071" width="11.875" style="7" customWidth="1"/>
    <col min="14072" max="14072" width="8" style="7" customWidth="1"/>
    <col min="14073" max="14073" width="12.25" style="7" customWidth="1"/>
    <col min="14074" max="14074" width="14.25" style="7" customWidth="1"/>
    <col min="14075" max="14075" width="8" style="7" customWidth="1"/>
    <col min="14076" max="14076" width="14" style="7" customWidth="1"/>
    <col min="14077" max="14077" width="8.875" style="7" customWidth="1"/>
    <col min="14078" max="14078" width="15.25" style="7" customWidth="1"/>
    <col min="14079" max="14079" width="16.375" style="7" customWidth="1"/>
    <col min="14080" max="14080" width="8.875" style="7" customWidth="1"/>
    <col min="14081" max="14081" width="9.625" style="7" customWidth="1"/>
    <col min="14082" max="14082" width="8.75" style="7" customWidth="1"/>
    <col min="14083" max="14083" width="12.375" style="7" customWidth="1"/>
    <col min="14084" max="14084" width="8.75" style="7" customWidth="1"/>
    <col min="14085" max="14085" width="11.5" style="7" customWidth="1"/>
    <col min="14086" max="14086" width="6.625" style="7" customWidth="1"/>
    <col min="14087" max="14087" width="11.25" style="7" customWidth="1"/>
    <col min="14088" max="14305" width="9" style="7" customWidth="1"/>
    <col min="14306" max="14306" width="9.625" style="7" customWidth="1"/>
    <col min="14307" max="14307" width="7.625" style="7" customWidth="1"/>
    <col min="14308" max="14308" width="18.5" style="7" customWidth="1"/>
    <col min="14309" max="14309" width="6.625" style="7" customWidth="1"/>
    <col min="14310" max="14310" width="12.25" style="7" customWidth="1"/>
    <col min="14311" max="14311" width="8" style="7" customWidth="1"/>
    <col min="14312" max="14312" width="10.625" style="7" customWidth="1"/>
    <col min="14313" max="14313" width="8" style="7" customWidth="1"/>
    <col min="14314" max="14314" width="11.375" style="7" customWidth="1"/>
    <col min="14315" max="14315" width="11.5" style="7" customWidth="1"/>
    <col min="14316" max="14316" width="8" style="7" customWidth="1"/>
    <col min="14317" max="14317" width="11.25" style="7" customWidth="1"/>
    <col min="14318" max="14318" width="8" style="7" customWidth="1"/>
    <col min="14319" max="14319" width="10.875" style="7" customWidth="1"/>
    <col min="14320" max="14320" width="12.25" style="7" customWidth="1"/>
    <col min="14321" max="14321" width="8" style="7" customWidth="1"/>
    <col min="14322" max="14322" width="11.875" style="7" customWidth="1"/>
    <col min="14323" max="14323" width="8" style="7" customWidth="1"/>
    <col min="14324" max="14324" width="11" style="7" customWidth="1"/>
    <col min="14325" max="14325" width="12.25" style="7" customWidth="1"/>
    <col min="14326" max="14326" width="8" style="7" customWidth="1"/>
    <col min="14327" max="14327" width="11.875" style="7" customWidth="1"/>
    <col min="14328" max="14328" width="8" style="7" customWidth="1"/>
    <col min="14329" max="14329" width="12.25" style="7" customWidth="1"/>
    <col min="14330" max="14330" width="14.25" style="7" customWidth="1"/>
    <col min="14331" max="14331" width="8" style="7" customWidth="1"/>
    <col min="14332" max="14332" width="14" style="7" customWidth="1"/>
    <col min="14333" max="14333" width="8.875" style="7" customWidth="1"/>
    <col min="14334" max="14334" width="15.25" style="7" customWidth="1"/>
    <col min="14335" max="14335" width="16.375" style="7" customWidth="1"/>
    <col min="14336" max="14336" width="8.875" style="7" customWidth="1"/>
    <col min="14337" max="14337" width="9.625" style="7" customWidth="1"/>
    <col min="14338" max="14338" width="8.75" style="7" customWidth="1"/>
    <col min="14339" max="14339" width="12.375" style="7" customWidth="1"/>
    <col min="14340" max="14340" width="8.75" style="7" customWidth="1"/>
    <col min="14341" max="14341" width="11.5" style="7" customWidth="1"/>
    <col min="14342" max="14342" width="6.625" style="7" customWidth="1"/>
    <col min="14343" max="14343" width="11.25" style="7" customWidth="1"/>
    <col min="14344" max="14561" width="9" style="7" customWidth="1"/>
    <col min="14562" max="14562" width="9.625" style="7" customWidth="1"/>
    <col min="14563" max="14563" width="7.625" style="7" customWidth="1"/>
    <col min="14564" max="14564" width="18.5" style="7" customWidth="1"/>
    <col min="14565" max="14565" width="6.625" style="7" customWidth="1"/>
    <col min="14566" max="14566" width="12.25" style="7" customWidth="1"/>
    <col min="14567" max="14567" width="8" style="7" customWidth="1"/>
    <col min="14568" max="14568" width="10.625" style="7" customWidth="1"/>
    <col min="14569" max="14569" width="8" style="7" customWidth="1"/>
    <col min="14570" max="14570" width="11.375" style="7" customWidth="1"/>
    <col min="14571" max="14571" width="11.5" style="7" customWidth="1"/>
    <col min="14572" max="14572" width="8" style="7" customWidth="1"/>
    <col min="14573" max="14573" width="11.25" style="7" customWidth="1"/>
    <col min="14574" max="14574" width="8" style="7" customWidth="1"/>
    <col min="14575" max="14575" width="10.875" style="7" customWidth="1"/>
    <col min="14576" max="14576" width="12.25" style="7" customWidth="1"/>
    <col min="14577" max="14577" width="8" style="7" customWidth="1"/>
    <col min="14578" max="14578" width="11.875" style="7" customWidth="1"/>
    <col min="14579" max="14579" width="8" style="7" customWidth="1"/>
    <col min="14580" max="14580" width="11" style="7" customWidth="1"/>
    <col min="14581" max="14581" width="12.25" style="7" customWidth="1"/>
    <col min="14582" max="14582" width="8" style="7" customWidth="1"/>
    <col min="14583" max="14583" width="11.875" style="7" customWidth="1"/>
    <col min="14584" max="14584" width="8" style="7" customWidth="1"/>
    <col min="14585" max="14585" width="12.25" style="7" customWidth="1"/>
    <col min="14586" max="14586" width="14.25" style="7" customWidth="1"/>
    <col min="14587" max="14587" width="8" style="7" customWidth="1"/>
    <col min="14588" max="14588" width="14" style="7" customWidth="1"/>
    <col min="14589" max="14589" width="8.875" style="7" customWidth="1"/>
    <col min="14590" max="14590" width="15.25" style="7" customWidth="1"/>
    <col min="14591" max="14591" width="16.375" style="7" customWidth="1"/>
    <col min="14592" max="14592" width="8.875" style="7" customWidth="1"/>
    <col min="14593" max="14593" width="9.625" style="7" customWidth="1"/>
    <col min="14594" max="14594" width="8.75" style="7" customWidth="1"/>
    <col min="14595" max="14595" width="12.375" style="7" customWidth="1"/>
    <col min="14596" max="14596" width="8.75" style="7" customWidth="1"/>
    <col min="14597" max="14597" width="11.5" style="7" customWidth="1"/>
    <col min="14598" max="14598" width="6.625" style="7" customWidth="1"/>
    <col min="14599" max="14599" width="11.25" style="7" customWidth="1"/>
    <col min="14600" max="14817" width="9" style="7" customWidth="1"/>
    <col min="14818" max="14818" width="9.625" style="7" customWidth="1"/>
    <col min="14819" max="14819" width="7.625" style="7" customWidth="1"/>
    <col min="14820" max="14820" width="18.5" style="7" customWidth="1"/>
    <col min="14821" max="14821" width="6.625" style="7" customWidth="1"/>
    <col min="14822" max="14822" width="12.25" style="7" customWidth="1"/>
    <col min="14823" max="14823" width="8" style="7" customWidth="1"/>
    <col min="14824" max="14824" width="10.625" style="7" customWidth="1"/>
    <col min="14825" max="14825" width="8" style="7" customWidth="1"/>
    <col min="14826" max="14826" width="11.375" style="7" customWidth="1"/>
    <col min="14827" max="14827" width="11.5" style="7" customWidth="1"/>
    <col min="14828" max="14828" width="8" style="7" customWidth="1"/>
    <col min="14829" max="14829" width="11.25" style="7" customWidth="1"/>
    <col min="14830" max="14830" width="8" style="7" customWidth="1"/>
    <col min="14831" max="14831" width="10.875" style="7" customWidth="1"/>
    <col min="14832" max="14832" width="12.25" style="7" customWidth="1"/>
    <col min="14833" max="14833" width="8" style="7" customWidth="1"/>
    <col min="14834" max="14834" width="11.875" style="7" customWidth="1"/>
    <col min="14835" max="14835" width="8" style="7" customWidth="1"/>
    <col min="14836" max="14836" width="11" style="7" customWidth="1"/>
    <col min="14837" max="14837" width="12.25" style="7" customWidth="1"/>
    <col min="14838" max="14838" width="8" style="7" customWidth="1"/>
    <col min="14839" max="14839" width="11.875" style="7" customWidth="1"/>
    <col min="14840" max="14840" width="8" style="7" customWidth="1"/>
    <col min="14841" max="14841" width="12.25" style="7" customWidth="1"/>
    <col min="14842" max="14842" width="14.25" style="7" customWidth="1"/>
    <col min="14843" max="14843" width="8" style="7" customWidth="1"/>
    <col min="14844" max="14844" width="14" style="7" customWidth="1"/>
    <col min="14845" max="14845" width="8.875" style="7" customWidth="1"/>
    <col min="14846" max="14846" width="15.25" style="7" customWidth="1"/>
    <col min="14847" max="14847" width="16.375" style="7" customWidth="1"/>
    <col min="14848" max="14848" width="8.875" style="7" customWidth="1"/>
    <col min="14849" max="14849" width="9.625" style="7" customWidth="1"/>
    <col min="14850" max="14850" width="8.75" style="7" customWidth="1"/>
    <col min="14851" max="14851" width="12.375" style="7" customWidth="1"/>
    <col min="14852" max="14852" width="8.75" style="7" customWidth="1"/>
    <col min="14853" max="14853" width="11.5" style="7" customWidth="1"/>
    <col min="14854" max="14854" width="6.625" style="7" customWidth="1"/>
    <col min="14855" max="14855" width="11.25" style="7" customWidth="1"/>
    <col min="14856" max="15073" width="9" style="7" customWidth="1"/>
    <col min="15074" max="15074" width="9.625" style="7" customWidth="1"/>
    <col min="15075" max="15075" width="7.625" style="7" customWidth="1"/>
    <col min="15076" max="15076" width="18.5" style="7" customWidth="1"/>
    <col min="15077" max="15077" width="6.625" style="7" customWidth="1"/>
    <col min="15078" max="15078" width="12.25" style="7" customWidth="1"/>
    <col min="15079" max="15079" width="8" style="7" customWidth="1"/>
    <col min="15080" max="15080" width="10.625" style="7" customWidth="1"/>
    <col min="15081" max="15081" width="8" style="7" customWidth="1"/>
    <col min="15082" max="15082" width="11.375" style="7" customWidth="1"/>
    <col min="15083" max="15083" width="11.5" style="7" customWidth="1"/>
    <col min="15084" max="15084" width="8" style="7" customWidth="1"/>
    <col min="15085" max="15085" width="11.25" style="7" customWidth="1"/>
    <col min="15086" max="15086" width="8" style="7" customWidth="1"/>
    <col min="15087" max="15087" width="10.875" style="7" customWidth="1"/>
    <col min="15088" max="15088" width="12.25" style="7" customWidth="1"/>
    <col min="15089" max="15089" width="8" style="7" customWidth="1"/>
    <col min="15090" max="15090" width="11.875" style="7" customWidth="1"/>
    <col min="15091" max="15091" width="8" style="7" customWidth="1"/>
    <col min="15092" max="15092" width="11" style="7" customWidth="1"/>
    <col min="15093" max="15093" width="12.25" style="7" customWidth="1"/>
    <col min="15094" max="15094" width="8" style="7" customWidth="1"/>
    <col min="15095" max="15095" width="11.875" style="7" customWidth="1"/>
    <col min="15096" max="15096" width="8" style="7" customWidth="1"/>
    <col min="15097" max="15097" width="12.25" style="7" customWidth="1"/>
    <col min="15098" max="15098" width="14.25" style="7" customWidth="1"/>
    <col min="15099" max="15099" width="8" style="7" customWidth="1"/>
    <col min="15100" max="15100" width="14" style="7" customWidth="1"/>
    <col min="15101" max="15101" width="8.875" style="7" customWidth="1"/>
    <col min="15102" max="15102" width="15.25" style="7" customWidth="1"/>
    <col min="15103" max="15103" width="16.375" style="7" customWidth="1"/>
    <col min="15104" max="15104" width="8.875" style="7" customWidth="1"/>
    <col min="15105" max="15105" width="9.625" style="7" customWidth="1"/>
    <col min="15106" max="15106" width="8.75" style="7" customWidth="1"/>
    <col min="15107" max="15107" width="12.375" style="7" customWidth="1"/>
    <col min="15108" max="15108" width="8.75" style="7" customWidth="1"/>
    <col min="15109" max="15109" width="11.5" style="7" customWidth="1"/>
    <col min="15110" max="15110" width="6.625" style="7" customWidth="1"/>
    <col min="15111" max="15111" width="11.25" style="7" customWidth="1"/>
    <col min="15112" max="15329" width="9" style="7" customWidth="1"/>
    <col min="15330" max="15330" width="9.625" style="7" customWidth="1"/>
    <col min="15331" max="15331" width="7.625" style="7" customWidth="1"/>
    <col min="15332" max="15332" width="18.5" style="7" customWidth="1"/>
    <col min="15333" max="15333" width="6.625" style="7" customWidth="1"/>
    <col min="15334" max="15334" width="12.25" style="7" customWidth="1"/>
    <col min="15335" max="15335" width="8" style="7" customWidth="1"/>
    <col min="15336" max="15336" width="10.625" style="7" customWidth="1"/>
    <col min="15337" max="15337" width="8" style="7" customWidth="1"/>
    <col min="15338" max="15338" width="11.375" style="7" customWidth="1"/>
    <col min="15339" max="15339" width="11.5" style="7" customWidth="1"/>
    <col min="15340" max="15340" width="8" style="7" customWidth="1"/>
    <col min="15341" max="15341" width="11.25" style="7" customWidth="1"/>
    <col min="15342" max="15342" width="8" style="7" customWidth="1"/>
    <col min="15343" max="15343" width="10.875" style="7" customWidth="1"/>
    <col min="15344" max="15344" width="12.25" style="7" customWidth="1"/>
    <col min="15345" max="15345" width="8" style="7" customWidth="1"/>
    <col min="15346" max="15346" width="11.875" style="7" customWidth="1"/>
    <col min="15347" max="15347" width="8" style="7" customWidth="1"/>
    <col min="15348" max="15348" width="11" style="7" customWidth="1"/>
    <col min="15349" max="15349" width="12.25" style="7" customWidth="1"/>
    <col min="15350" max="15350" width="8" style="7" customWidth="1"/>
    <col min="15351" max="15351" width="11.875" style="7" customWidth="1"/>
    <col min="15352" max="15352" width="8" style="7" customWidth="1"/>
    <col min="15353" max="15353" width="12.25" style="7" customWidth="1"/>
    <col min="15354" max="15354" width="14.25" style="7" customWidth="1"/>
    <col min="15355" max="15355" width="8" style="7" customWidth="1"/>
    <col min="15356" max="15356" width="14" style="7" customWidth="1"/>
    <col min="15357" max="15357" width="8.875" style="7" customWidth="1"/>
    <col min="15358" max="15358" width="15.25" style="7" customWidth="1"/>
    <col min="15359" max="15359" width="16.375" style="7" customWidth="1"/>
    <col min="15360" max="15360" width="8.875" style="7" customWidth="1"/>
    <col min="15361" max="15361" width="9.625" style="7" customWidth="1"/>
    <col min="15362" max="15362" width="8.75" style="7" customWidth="1"/>
    <col min="15363" max="15363" width="12.375" style="7" customWidth="1"/>
    <col min="15364" max="15364" width="8.75" style="7" customWidth="1"/>
    <col min="15365" max="15365" width="11.5" style="7" customWidth="1"/>
    <col min="15366" max="15366" width="6.625" style="7" customWidth="1"/>
    <col min="15367" max="15367" width="11.25" style="7" customWidth="1"/>
    <col min="15368" max="15585" width="9" style="7" customWidth="1"/>
    <col min="15586" max="15586" width="9.625" style="7" customWidth="1"/>
    <col min="15587" max="15587" width="7.625" style="7" customWidth="1"/>
    <col min="15588" max="15588" width="18.5" style="7" customWidth="1"/>
    <col min="15589" max="15589" width="6.625" style="7" customWidth="1"/>
    <col min="15590" max="15590" width="12.25" style="7" customWidth="1"/>
    <col min="15591" max="15591" width="8" style="7" customWidth="1"/>
    <col min="15592" max="15592" width="10.625" style="7" customWidth="1"/>
    <col min="15593" max="15593" width="8" style="7" customWidth="1"/>
    <col min="15594" max="15594" width="11.375" style="7" customWidth="1"/>
    <col min="15595" max="15595" width="11.5" style="7" customWidth="1"/>
    <col min="15596" max="15596" width="8" style="7" customWidth="1"/>
    <col min="15597" max="15597" width="11.25" style="7" customWidth="1"/>
    <col min="15598" max="15598" width="8" style="7" customWidth="1"/>
    <col min="15599" max="15599" width="10.875" style="7" customWidth="1"/>
    <col min="15600" max="15600" width="12.25" style="7" customWidth="1"/>
    <col min="15601" max="15601" width="8" style="7" customWidth="1"/>
    <col min="15602" max="15602" width="11.875" style="7" customWidth="1"/>
    <col min="15603" max="15603" width="8" style="7" customWidth="1"/>
    <col min="15604" max="15604" width="11" style="7" customWidth="1"/>
    <col min="15605" max="15605" width="12.25" style="7" customWidth="1"/>
    <col min="15606" max="15606" width="8" style="7" customWidth="1"/>
    <col min="15607" max="15607" width="11.875" style="7" customWidth="1"/>
    <col min="15608" max="15608" width="8" style="7" customWidth="1"/>
    <col min="15609" max="15609" width="12.25" style="7" customWidth="1"/>
    <col min="15610" max="15610" width="14.25" style="7" customWidth="1"/>
    <col min="15611" max="15611" width="8" style="7" customWidth="1"/>
    <col min="15612" max="15612" width="14" style="7" customWidth="1"/>
    <col min="15613" max="15613" width="8.875" style="7" customWidth="1"/>
    <col min="15614" max="15614" width="15.25" style="7" customWidth="1"/>
    <col min="15615" max="15615" width="16.375" style="7" customWidth="1"/>
    <col min="15616" max="15616" width="8.875" style="7" customWidth="1"/>
    <col min="15617" max="15617" width="9.625" style="7" customWidth="1"/>
    <col min="15618" max="15618" width="8.75" style="7" customWidth="1"/>
    <col min="15619" max="15619" width="12.375" style="7" customWidth="1"/>
    <col min="15620" max="15620" width="8.75" style="7" customWidth="1"/>
    <col min="15621" max="15621" width="11.5" style="7" customWidth="1"/>
    <col min="15622" max="15622" width="6.625" style="7" customWidth="1"/>
    <col min="15623" max="15623" width="11.25" style="7" customWidth="1"/>
    <col min="15624" max="15841" width="9" style="7" customWidth="1"/>
    <col min="15842" max="15842" width="9.625" style="7" customWidth="1"/>
    <col min="15843" max="15843" width="7.625" style="7" customWidth="1"/>
    <col min="15844" max="15844" width="18.5" style="7" customWidth="1"/>
    <col min="15845" max="15845" width="6.625" style="7" customWidth="1"/>
    <col min="15846" max="15846" width="12.25" style="7" customWidth="1"/>
    <col min="15847" max="15847" width="8" style="7" customWidth="1"/>
    <col min="15848" max="15848" width="10.625" style="7" customWidth="1"/>
    <col min="15849" max="15849" width="8" style="7" customWidth="1"/>
    <col min="15850" max="15850" width="11.375" style="7" customWidth="1"/>
    <col min="15851" max="15851" width="11.5" style="7" customWidth="1"/>
    <col min="15852" max="15852" width="8" style="7" customWidth="1"/>
    <col min="15853" max="15853" width="11.25" style="7" customWidth="1"/>
    <col min="15854" max="15854" width="8" style="7" customWidth="1"/>
    <col min="15855" max="15855" width="10.875" style="7" customWidth="1"/>
    <col min="15856" max="15856" width="12.25" style="7" customWidth="1"/>
    <col min="15857" max="15857" width="8" style="7" customWidth="1"/>
    <col min="15858" max="15858" width="11.875" style="7" customWidth="1"/>
    <col min="15859" max="15859" width="8" style="7" customWidth="1"/>
    <col min="15860" max="15860" width="11" style="7" customWidth="1"/>
    <col min="15861" max="15861" width="12.25" style="7" customWidth="1"/>
    <col min="15862" max="15862" width="8" style="7" customWidth="1"/>
    <col min="15863" max="15863" width="11.875" style="7" customWidth="1"/>
    <col min="15864" max="15864" width="8" style="7" customWidth="1"/>
    <col min="15865" max="15865" width="12.25" style="7" customWidth="1"/>
    <col min="15866" max="15866" width="14.25" style="7" customWidth="1"/>
    <col min="15867" max="15867" width="8" style="7" customWidth="1"/>
    <col min="15868" max="15868" width="14" style="7" customWidth="1"/>
    <col min="15869" max="15869" width="8.875" style="7" customWidth="1"/>
    <col min="15870" max="15870" width="15.25" style="7" customWidth="1"/>
    <col min="15871" max="15871" width="16.375" style="7" customWidth="1"/>
    <col min="15872" max="15872" width="8.875" style="7" customWidth="1"/>
    <col min="15873" max="15873" width="9.625" style="7" customWidth="1"/>
    <col min="15874" max="15874" width="8.75" style="7" customWidth="1"/>
    <col min="15875" max="15875" width="12.375" style="7" customWidth="1"/>
    <col min="15876" max="15876" width="8.75" style="7" customWidth="1"/>
    <col min="15877" max="15877" width="11.5" style="7" customWidth="1"/>
    <col min="15878" max="15878" width="6.625" style="7" customWidth="1"/>
    <col min="15879" max="15879" width="11.25" style="7" customWidth="1"/>
    <col min="15880" max="16097" width="9" style="7" customWidth="1"/>
    <col min="16098" max="16098" width="9.625" style="7" customWidth="1"/>
    <col min="16099" max="16099" width="7.625" style="7" customWidth="1"/>
    <col min="16100" max="16100" width="18.5" style="7" customWidth="1"/>
    <col min="16101" max="16101" width="6.625" style="7" customWidth="1"/>
    <col min="16102" max="16102" width="12.25" style="7" customWidth="1"/>
    <col min="16103" max="16103" width="8" style="7" customWidth="1"/>
    <col min="16104" max="16104" width="10.625" style="7" customWidth="1"/>
    <col min="16105" max="16105" width="8" style="7" customWidth="1"/>
    <col min="16106" max="16106" width="11.375" style="7" customWidth="1"/>
    <col min="16107" max="16107" width="11.5" style="7" customWidth="1"/>
    <col min="16108" max="16108" width="8" style="7" customWidth="1"/>
    <col min="16109" max="16109" width="11.25" style="7" customWidth="1"/>
    <col min="16110" max="16110" width="8" style="7" customWidth="1"/>
    <col min="16111" max="16111" width="10.875" style="7" customWidth="1"/>
    <col min="16112" max="16112" width="12.25" style="7" customWidth="1"/>
    <col min="16113" max="16113" width="8" style="7" customWidth="1"/>
    <col min="16114" max="16114" width="11.875" style="7" customWidth="1"/>
    <col min="16115" max="16115" width="8" style="7" customWidth="1"/>
    <col min="16116" max="16116" width="11" style="7" customWidth="1"/>
    <col min="16117" max="16117" width="12.25" style="7" customWidth="1"/>
    <col min="16118" max="16118" width="8" style="7" customWidth="1"/>
    <col min="16119" max="16119" width="11.875" style="7" customWidth="1"/>
    <col min="16120" max="16120" width="8" style="7" customWidth="1"/>
    <col min="16121" max="16121" width="12.25" style="7" customWidth="1"/>
    <col min="16122" max="16122" width="14.25" style="7" customWidth="1"/>
    <col min="16123" max="16123" width="8" style="7" customWidth="1"/>
    <col min="16124" max="16124" width="14" style="7" customWidth="1"/>
    <col min="16125" max="16125" width="8.875" style="7" customWidth="1"/>
    <col min="16126" max="16126" width="15.25" style="7" customWidth="1"/>
    <col min="16127" max="16127" width="16.375" style="7" customWidth="1"/>
    <col min="16128" max="16128" width="8.875" style="7" customWidth="1"/>
    <col min="16129" max="16129" width="9.625" style="7" customWidth="1"/>
    <col min="16130" max="16130" width="8.75" style="7" customWidth="1"/>
    <col min="16131" max="16131" width="12.375" style="7" customWidth="1"/>
    <col min="16132" max="16132" width="8.75" style="7" customWidth="1"/>
    <col min="16133" max="16133" width="11.5" style="7" customWidth="1"/>
    <col min="16134" max="16134" width="6.625" style="7" customWidth="1"/>
    <col min="16135" max="16135" width="11.25" style="7" customWidth="1"/>
    <col min="16136" max="16384" width="9" style="7" customWidth="1"/>
  </cols>
  <sheetData>
    <row r="2" spans="1:14" ht="30" customHeight="1" thickBot="1" x14ac:dyDescent="0.35">
      <c r="A2" s="119" t="s">
        <v>259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 ht="20.100000000000001" customHeight="1" thickBo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7" t="s">
        <v>740</v>
      </c>
      <c r="N3" s="60">
        <f>G203</f>
        <v>495730</v>
      </c>
    </row>
    <row r="4" spans="1:14" ht="20.100000000000001" customHeight="1" thickBot="1" x14ac:dyDescent="0.35">
      <c r="M4" s="57" t="s">
        <v>1</v>
      </c>
      <c r="N4" s="60">
        <f>M203</f>
        <v>259935090</v>
      </c>
    </row>
    <row r="5" spans="1:14" ht="20.100000000000001" customHeight="1" thickBot="1" x14ac:dyDescent="0.35">
      <c r="M5" s="9"/>
      <c r="N5" s="9"/>
    </row>
    <row r="6" spans="1:14" s="5" customFormat="1" ht="20.100000000000001" customHeight="1" x14ac:dyDescent="0.3">
      <c r="A6" s="120" t="s">
        <v>2</v>
      </c>
      <c r="B6" s="122" t="s">
        <v>3</v>
      </c>
      <c r="C6" s="124" t="s">
        <v>4</v>
      </c>
      <c r="D6" s="124" t="s">
        <v>5</v>
      </c>
      <c r="E6" s="124" t="s">
        <v>8</v>
      </c>
      <c r="F6" s="129" t="s">
        <v>9</v>
      </c>
      <c r="G6" s="131" t="s">
        <v>10</v>
      </c>
      <c r="H6" s="129" t="s">
        <v>11</v>
      </c>
      <c r="I6" s="129" t="s">
        <v>12</v>
      </c>
      <c r="J6" s="129" t="s">
        <v>13</v>
      </c>
      <c r="K6" s="129" t="s">
        <v>14</v>
      </c>
      <c r="L6" s="129" t="s">
        <v>15</v>
      </c>
      <c r="M6" s="131" t="s">
        <v>16</v>
      </c>
      <c r="N6" s="116" t="s">
        <v>17</v>
      </c>
    </row>
    <row r="7" spans="1:14" s="10" customFormat="1" ht="20.100000000000001" customHeight="1" x14ac:dyDescent="0.3">
      <c r="A7" s="121"/>
      <c r="B7" s="123"/>
      <c r="C7" s="125"/>
      <c r="D7" s="125"/>
      <c r="E7" s="125"/>
      <c r="F7" s="130"/>
      <c r="G7" s="132"/>
      <c r="H7" s="130"/>
      <c r="I7" s="130"/>
      <c r="J7" s="130"/>
      <c r="K7" s="130"/>
      <c r="L7" s="130"/>
      <c r="M7" s="132"/>
      <c r="N7" s="117"/>
    </row>
    <row r="8" spans="1:14" s="10" customFormat="1" ht="20.100000000000001" customHeight="1" x14ac:dyDescent="0.3">
      <c r="A8" s="143" t="s">
        <v>260</v>
      </c>
      <c r="B8" s="26" t="s">
        <v>261</v>
      </c>
      <c r="C8" s="12" t="s">
        <v>262</v>
      </c>
      <c r="D8" s="12">
        <v>1600</v>
      </c>
      <c r="E8" s="12">
        <v>24000</v>
      </c>
      <c r="F8" s="13">
        <v>737</v>
      </c>
      <c r="G8" s="46">
        <v>30000</v>
      </c>
      <c r="H8" s="14"/>
      <c r="I8" s="14"/>
      <c r="J8" s="14"/>
      <c r="K8" s="14"/>
      <c r="L8" s="14"/>
      <c r="M8" s="46">
        <f>F8*G8</f>
        <v>22110000</v>
      </c>
      <c r="N8" s="27"/>
    </row>
    <row r="9" spans="1:14" s="10" customFormat="1" ht="20.100000000000001" customHeight="1" x14ac:dyDescent="0.3">
      <c r="A9" s="137"/>
      <c r="B9" s="29" t="s">
        <v>263</v>
      </c>
      <c r="C9" s="16" t="s">
        <v>264</v>
      </c>
      <c r="D9" s="16">
        <v>4900</v>
      </c>
      <c r="E9" s="16">
        <v>30000</v>
      </c>
      <c r="F9" s="17">
        <v>764</v>
      </c>
      <c r="G9" s="47">
        <v>20000</v>
      </c>
      <c r="H9" s="18"/>
      <c r="I9" s="18"/>
      <c r="J9" s="18"/>
      <c r="K9" s="18"/>
      <c r="L9" s="18"/>
      <c r="M9" s="46">
        <f t="shared" ref="M9:M72" si="0">F9*G9</f>
        <v>15280000</v>
      </c>
      <c r="N9" s="30"/>
    </row>
    <row r="10" spans="1:14" s="10" customFormat="1" ht="20.100000000000001" customHeight="1" x14ac:dyDescent="0.3">
      <c r="A10" s="137"/>
      <c r="B10" s="29" t="s">
        <v>265</v>
      </c>
      <c r="C10" s="31" t="s">
        <v>266</v>
      </c>
      <c r="D10" s="32">
        <v>1000</v>
      </c>
      <c r="E10" s="32">
        <v>8000</v>
      </c>
      <c r="F10" s="33">
        <v>551</v>
      </c>
      <c r="G10" s="50">
        <v>2000</v>
      </c>
      <c r="H10" s="34"/>
      <c r="I10" s="34"/>
      <c r="J10" s="34"/>
      <c r="K10" s="34"/>
      <c r="L10" s="34"/>
      <c r="M10" s="46">
        <f t="shared" si="0"/>
        <v>1102000</v>
      </c>
      <c r="N10" s="30"/>
    </row>
    <row r="11" spans="1:14" s="10" customFormat="1" ht="20.100000000000001" customHeight="1" x14ac:dyDescent="0.3">
      <c r="A11" s="137"/>
      <c r="B11" s="29" t="s">
        <v>267</v>
      </c>
      <c r="C11" s="31" t="s">
        <v>268</v>
      </c>
      <c r="D11" s="32">
        <v>1000</v>
      </c>
      <c r="E11" s="32">
        <v>8000</v>
      </c>
      <c r="F11" s="33">
        <v>551</v>
      </c>
      <c r="G11" s="50">
        <v>2000</v>
      </c>
      <c r="H11" s="34"/>
      <c r="I11" s="34"/>
      <c r="J11" s="34"/>
      <c r="K11" s="34"/>
      <c r="L11" s="34"/>
      <c r="M11" s="46">
        <f t="shared" si="0"/>
        <v>1102000</v>
      </c>
      <c r="N11" s="30"/>
    </row>
    <row r="12" spans="1:14" s="10" customFormat="1" ht="20.100000000000001" customHeight="1" x14ac:dyDescent="0.3">
      <c r="A12" s="137"/>
      <c r="B12" s="29" t="s">
        <v>269</v>
      </c>
      <c r="C12" s="16" t="s">
        <v>270</v>
      </c>
      <c r="D12" s="16">
        <v>9400</v>
      </c>
      <c r="E12" s="16">
        <v>6000</v>
      </c>
      <c r="F12" s="17">
        <v>4400</v>
      </c>
      <c r="G12" s="47">
        <v>0</v>
      </c>
      <c r="H12" s="18"/>
      <c r="I12" s="18"/>
      <c r="J12" s="18"/>
      <c r="K12" s="18"/>
      <c r="L12" s="18"/>
      <c r="M12" s="46">
        <f t="shared" si="0"/>
        <v>0</v>
      </c>
      <c r="N12" s="30"/>
    </row>
    <row r="13" spans="1:14" s="10" customFormat="1" ht="20.100000000000001" customHeight="1" x14ac:dyDescent="0.3">
      <c r="A13" s="137"/>
      <c r="B13" s="29" t="s">
        <v>271</v>
      </c>
      <c r="C13" s="16" t="s">
        <v>272</v>
      </c>
      <c r="D13" s="16">
        <v>18390</v>
      </c>
      <c r="E13" s="16">
        <v>6000</v>
      </c>
      <c r="F13" s="17">
        <v>1560</v>
      </c>
      <c r="G13" s="47">
        <v>0</v>
      </c>
      <c r="H13" s="18"/>
      <c r="I13" s="18"/>
      <c r="J13" s="18"/>
      <c r="K13" s="18"/>
      <c r="L13" s="18"/>
      <c r="M13" s="46">
        <f t="shared" si="0"/>
        <v>0</v>
      </c>
      <c r="N13" s="30"/>
    </row>
    <row r="14" spans="1:14" s="10" customFormat="1" ht="20.100000000000001" customHeight="1" x14ac:dyDescent="0.3">
      <c r="A14" s="137"/>
      <c r="B14" s="29" t="s">
        <v>273</v>
      </c>
      <c r="C14" s="16" t="s">
        <v>274</v>
      </c>
      <c r="D14" s="16">
        <v>4050</v>
      </c>
      <c r="E14" s="16">
        <v>6000</v>
      </c>
      <c r="F14" s="17">
        <v>1448</v>
      </c>
      <c r="G14" s="47">
        <v>4000</v>
      </c>
      <c r="H14" s="18"/>
      <c r="I14" s="18"/>
      <c r="J14" s="18"/>
      <c r="K14" s="18"/>
      <c r="L14" s="18"/>
      <c r="M14" s="46">
        <f t="shared" si="0"/>
        <v>5792000</v>
      </c>
      <c r="N14" s="30"/>
    </row>
    <row r="15" spans="1:14" s="10" customFormat="1" ht="20.100000000000001" customHeight="1" x14ac:dyDescent="0.3">
      <c r="A15" s="137"/>
      <c r="B15" s="29" t="s">
        <v>275</v>
      </c>
      <c r="C15" s="16" t="s">
        <v>276</v>
      </c>
      <c r="D15" s="16">
        <v>500</v>
      </c>
      <c r="E15" s="16">
        <v>1000</v>
      </c>
      <c r="F15" s="17">
        <v>760</v>
      </c>
      <c r="G15" s="47">
        <v>1000</v>
      </c>
      <c r="H15" s="18"/>
      <c r="I15" s="18"/>
      <c r="J15" s="18"/>
      <c r="K15" s="18"/>
      <c r="L15" s="18"/>
      <c r="M15" s="46">
        <f t="shared" si="0"/>
        <v>760000</v>
      </c>
      <c r="N15" s="30"/>
    </row>
    <row r="16" spans="1:14" s="10" customFormat="1" ht="20.100000000000001" customHeight="1" x14ac:dyDescent="0.3">
      <c r="A16" s="137"/>
      <c r="B16" s="29" t="s">
        <v>277</v>
      </c>
      <c r="C16" s="16" t="s">
        <v>278</v>
      </c>
      <c r="D16" s="16">
        <v>1000</v>
      </c>
      <c r="E16" s="16">
        <v>1000</v>
      </c>
      <c r="F16" s="17">
        <v>760</v>
      </c>
      <c r="G16" s="47">
        <v>1000</v>
      </c>
      <c r="H16" s="18"/>
      <c r="I16" s="18"/>
      <c r="J16" s="18"/>
      <c r="K16" s="18"/>
      <c r="L16" s="18"/>
      <c r="M16" s="46">
        <f t="shared" si="0"/>
        <v>760000</v>
      </c>
      <c r="N16" s="30"/>
    </row>
    <row r="17" spans="1:14" s="10" customFormat="1" ht="20.100000000000001" customHeight="1" x14ac:dyDescent="0.3">
      <c r="A17" s="137"/>
      <c r="B17" s="29" t="s">
        <v>279</v>
      </c>
      <c r="C17" s="16" t="s">
        <v>280</v>
      </c>
      <c r="D17" s="16">
        <v>5040</v>
      </c>
      <c r="E17" s="16">
        <v>2000</v>
      </c>
      <c r="F17" s="17">
        <v>909</v>
      </c>
      <c r="G17" s="47">
        <v>2000</v>
      </c>
      <c r="H17" s="18"/>
      <c r="I17" s="18"/>
      <c r="J17" s="18"/>
      <c r="K17" s="18"/>
      <c r="L17" s="18"/>
      <c r="M17" s="46">
        <f t="shared" si="0"/>
        <v>1818000</v>
      </c>
      <c r="N17" s="30"/>
    </row>
    <row r="18" spans="1:14" s="10" customFormat="1" ht="20.100000000000001" customHeight="1" x14ac:dyDescent="0.3">
      <c r="A18" s="137"/>
      <c r="B18" s="29" t="s">
        <v>281</v>
      </c>
      <c r="C18" s="16" t="s">
        <v>282</v>
      </c>
      <c r="D18" s="16">
        <v>28580</v>
      </c>
      <c r="E18" s="16">
        <v>4000</v>
      </c>
      <c r="F18" s="17">
        <v>1448</v>
      </c>
      <c r="G18" s="47">
        <v>0</v>
      </c>
      <c r="H18" s="18"/>
      <c r="I18" s="18"/>
      <c r="J18" s="18"/>
      <c r="K18" s="18"/>
      <c r="L18" s="18"/>
      <c r="M18" s="46">
        <f t="shared" si="0"/>
        <v>0</v>
      </c>
      <c r="N18" s="30"/>
    </row>
    <row r="19" spans="1:14" s="10" customFormat="1" ht="20.100000000000001" customHeight="1" x14ac:dyDescent="0.3">
      <c r="A19" s="139" t="s">
        <v>35</v>
      </c>
      <c r="B19" s="107"/>
      <c r="C19" s="107"/>
      <c r="D19" s="107"/>
      <c r="E19" s="107"/>
      <c r="F19" s="95"/>
      <c r="G19" s="48">
        <f>SUM(G8:G18)</f>
        <v>62000</v>
      </c>
      <c r="H19" s="19"/>
      <c r="I19" s="19"/>
      <c r="J19" s="19"/>
      <c r="K19" s="19"/>
      <c r="L19" s="19"/>
      <c r="M19" s="48">
        <f>SUM(M8:M18)</f>
        <v>48724000</v>
      </c>
      <c r="N19" s="30"/>
    </row>
    <row r="20" spans="1:14" s="10" customFormat="1" ht="20.100000000000001" customHeight="1" x14ac:dyDescent="0.3">
      <c r="A20" s="137" t="s">
        <v>283</v>
      </c>
      <c r="B20" s="35" t="s">
        <v>284</v>
      </c>
      <c r="C20" s="36" t="s">
        <v>285</v>
      </c>
      <c r="D20" s="16">
        <v>0</v>
      </c>
      <c r="E20" s="16">
        <v>17280</v>
      </c>
      <c r="F20" s="17">
        <v>600</v>
      </c>
      <c r="G20" s="47">
        <v>8000</v>
      </c>
      <c r="H20" s="18"/>
      <c r="I20" s="18"/>
      <c r="J20" s="18"/>
      <c r="K20" s="18"/>
      <c r="L20" s="18"/>
      <c r="M20" s="46">
        <f t="shared" si="0"/>
        <v>4800000</v>
      </c>
      <c r="N20" s="30"/>
    </row>
    <row r="21" spans="1:14" s="10" customFormat="1" ht="20.100000000000001" customHeight="1" x14ac:dyDescent="0.3">
      <c r="A21" s="137"/>
      <c r="B21" s="35" t="s">
        <v>286</v>
      </c>
      <c r="C21" s="36" t="s">
        <v>287</v>
      </c>
      <c r="D21" s="16">
        <v>0</v>
      </c>
      <c r="E21" s="16">
        <v>400</v>
      </c>
      <c r="F21" s="17">
        <v>684</v>
      </c>
      <c r="G21" s="47">
        <v>0</v>
      </c>
      <c r="H21" s="18"/>
      <c r="I21" s="18"/>
      <c r="J21" s="18"/>
      <c r="K21" s="18"/>
      <c r="L21" s="18"/>
      <c r="M21" s="46">
        <f t="shared" si="0"/>
        <v>0</v>
      </c>
      <c r="N21" s="30"/>
    </row>
    <row r="22" spans="1:14" s="10" customFormat="1" ht="20.100000000000001" customHeight="1" x14ac:dyDescent="0.3">
      <c r="A22" s="137"/>
      <c r="B22" s="35" t="s">
        <v>288</v>
      </c>
      <c r="C22" s="36" t="s">
        <v>289</v>
      </c>
      <c r="D22" s="16">
        <v>0</v>
      </c>
      <c r="E22" s="16">
        <v>5760</v>
      </c>
      <c r="F22" s="17">
        <v>603</v>
      </c>
      <c r="G22" s="47">
        <v>2880</v>
      </c>
      <c r="H22" s="18"/>
      <c r="I22" s="18"/>
      <c r="J22" s="18"/>
      <c r="K22" s="18"/>
      <c r="L22" s="18"/>
      <c r="M22" s="46">
        <f t="shared" si="0"/>
        <v>1736640</v>
      </c>
      <c r="N22" s="30"/>
    </row>
    <row r="23" spans="1:14" s="10" customFormat="1" ht="20.100000000000001" customHeight="1" x14ac:dyDescent="0.3">
      <c r="A23" s="137"/>
      <c r="B23" s="35" t="s">
        <v>290</v>
      </c>
      <c r="C23" s="36" t="s">
        <v>291</v>
      </c>
      <c r="D23" s="16">
        <v>0</v>
      </c>
      <c r="E23" s="16">
        <v>2880</v>
      </c>
      <c r="F23" s="17">
        <v>603</v>
      </c>
      <c r="G23" s="47">
        <v>0</v>
      </c>
      <c r="H23" s="18"/>
      <c r="I23" s="18"/>
      <c r="J23" s="18"/>
      <c r="K23" s="18"/>
      <c r="L23" s="18"/>
      <c r="M23" s="46">
        <f t="shared" si="0"/>
        <v>0</v>
      </c>
      <c r="N23" s="30"/>
    </row>
    <row r="24" spans="1:14" s="10" customFormat="1" ht="20.100000000000001" customHeight="1" x14ac:dyDescent="0.3">
      <c r="A24" s="137"/>
      <c r="B24" s="35" t="s">
        <v>292</v>
      </c>
      <c r="C24" s="36" t="s">
        <v>293</v>
      </c>
      <c r="D24" s="16">
        <v>0</v>
      </c>
      <c r="E24" s="16">
        <v>400</v>
      </c>
      <c r="F24" s="17">
        <v>703</v>
      </c>
      <c r="G24" s="47">
        <v>0</v>
      </c>
      <c r="H24" s="18"/>
      <c r="I24" s="18"/>
      <c r="J24" s="18"/>
      <c r="K24" s="18"/>
      <c r="L24" s="18"/>
      <c r="M24" s="46">
        <f t="shared" si="0"/>
        <v>0</v>
      </c>
      <c r="N24" s="30"/>
    </row>
    <row r="25" spans="1:14" s="10" customFormat="1" ht="20.100000000000001" customHeight="1" x14ac:dyDescent="0.3">
      <c r="A25" s="137"/>
      <c r="B25" s="35" t="s">
        <v>294</v>
      </c>
      <c r="C25" s="36" t="s">
        <v>295</v>
      </c>
      <c r="D25" s="16">
        <v>0</v>
      </c>
      <c r="E25" s="16">
        <v>0</v>
      </c>
      <c r="F25" s="17">
        <v>623</v>
      </c>
      <c r="G25" s="47">
        <v>0</v>
      </c>
      <c r="H25" s="18"/>
      <c r="I25" s="18"/>
      <c r="J25" s="18"/>
      <c r="K25" s="18"/>
      <c r="L25" s="18"/>
      <c r="M25" s="46">
        <f t="shared" si="0"/>
        <v>0</v>
      </c>
      <c r="N25" s="30"/>
    </row>
    <row r="26" spans="1:14" s="10" customFormat="1" ht="20.100000000000001" customHeight="1" x14ac:dyDescent="0.3">
      <c r="A26" s="137"/>
      <c r="B26" s="35" t="s">
        <v>751</v>
      </c>
      <c r="C26" s="36" t="s">
        <v>296</v>
      </c>
      <c r="D26" s="16">
        <v>0</v>
      </c>
      <c r="E26" s="16">
        <v>364</v>
      </c>
      <c r="F26" s="17">
        <v>623</v>
      </c>
      <c r="G26" s="47">
        <v>500</v>
      </c>
      <c r="H26" s="18"/>
      <c r="I26" s="18"/>
      <c r="J26" s="18"/>
      <c r="K26" s="18"/>
      <c r="L26" s="18"/>
      <c r="M26" s="46">
        <f t="shared" si="0"/>
        <v>311500</v>
      </c>
      <c r="N26" s="30"/>
    </row>
    <row r="27" spans="1:14" s="10" customFormat="1" ht="20.100000000000001" customHeight="1" x14ac:dyDescent="0.3">
      <c r="A27" s="137"/>
      <c r="B27" s="35" t="s">
        <v>750</v>
      </c>
      <c r="C27" s="36" t="s">
        <v>297</v>
      </c>
      <c r="D27" s="16">
        <v>0</v>
      </c>
      <c r="E27" s="16">
        <v>0</v>
      </c>
      <c r="F27" s="17">
        <v>710</v>
      </c>
      <c r="G27" s="47">
        <v>500</v>
      </c>
      <c r="H27" s="18"/>
      <c r="I27" s="18"/>
      <c r="J27" s="18"/>
      <c r="K27" s="18"/>
      <c r="L27" s="18"/>
      <c r="M27" s="147">
        <f t="shared" si="0"/>
        <v>355000</v>
      </c>
      <c r="N27" s="30"/>
    </row>
    <row r="28" spans="1:14" s="10" customFormat="1" ht="20.100000000000001" customHeight="1" x14ac:dyDescent="0.3">
      <c r="A28" s="139" t="s">
        <v>35</v>
      </c>
      <c r="B28" s="107"/>
      <c r="C28" s="107"/>
      <c r="D28" s="107"/>
      <c r="E28" s="107"/>
      <c r="F28" s="95"/>
      <c r="G28" s="48">
        <f>SUM(G20:G27)</f>
        <v>11880</v>
      </c>
      <c r="H28" s="19"/>
      <c r="I28" s="19"/>
      <c r="J28" s="19"/>
      <c r="K28" s="19"/>
      <c r="L28" s="19"/>
      <c r="M28" s="48">
        <f>SUM(M20:M27)</f>
        <v>7203140</v>
      </c>
      <c r="N28" s="30"/>
    </row>
    <row r="29" spans="1:14" s="10" customFormat="1" ht="20.100000000000001" customHeight="1" x14ac:dyDescent="0.3">
      <c r="A29" s="137" t="s">
        <v>298</v>
      </c>
      <c r="B29" s="37" t="s">
        <v>299</v>
      </c>
      <c r="C29" s="38" t="s">
        <v>300</v>
      </c>
      <c r="D29" s="18">
        <v>0</v>
      </c>
      <c r="E29" s="18">
        <v>400</v>
      </c>
      <c r="F29" s="17">
        <v>323</v>
      </c>
      <c r="G29" s="48">
        <v>0</v>
      </c>
      <c r="H29" s="19"/>
      <c r="I29" s="19"/>
      <c r="J29" s="19"/>
      <c r="K29" s="19"/>
      <c r="L29" s="19"/>
      <c r="M29" s="46">
        <f t="shared" si="0"/>
        <v>0</v>
      </c>
      <c r="N29" s="30"/>
    </row>
    <row r="30" spans="1:14" s="10" customFormat="1" ht="20.100000000000001" customHeight="1" x14ac:dyDescent="0.3">
      <c r="A30" s="137"/>
      <c r="B30" s="37" t="s">
        <v>301</v>
      </c>
      <c r="C30" s="38" t="s">
        <v>302</v>
      </c>
      <c r="D30" s="18">
        <v>0</v>
      </c>
      <c r="E30" s="18">
        <v>400</v>
      </c>
      <c r="F30" s="17">
        <v>323</v>
      </c>
      <c r="G30" s="48">
        <v>0</v>
      </c>
      <c r="H30" s="19"/>
      <c r="I30" s="19"/>
      <c r="J30" s="19"/>
      <c r="K30" s="19"/>
      <c r="L30" s="19"/>
      <c r="M30" s="46">
        <f t="shared" si="0"/>
        <v>0</v>
      </c>
      <c r="N30" s="30"/>
    </row>
    <row r="31" spans="1:14" s="10" customFormat="1" ht="20.100000000000001" customHeight="1" x14ac:dyDescent="0.3">
      <c r="A31" s="137"/>
      <c r="B31" s="37" t="s">
        <v>303</v>
      </c>
      <c r="C31" s="38" t="s">
        <v>304</v>
      </c>
      <c r="D31" s="18">
        <v>0</v>
      </c>
      <c r="E31" s="18">
        <v>400</v>
      </c>
      <c r="F31" s="17">
        <v>323</v>
      </c>
      <c r="G31" s="48">
        <v>0</v>
      </c>
      <c r="H31" s="19"/>
      <c r="I31" s="19"/>
      <c r="J31" s="19"/>
      <c r="K31" s="19"/>
      <c r="L31" s="19"/>
      <c r="M31" s="46">
        <f t="shared" si="0"/>
        <v>0</v>
      </c>
      <c r="N31" s="30"/>
    </row>
    <row r="32" spans="1:14" s="10" customFormat="1" ht="20.100000000000001" customHeight="1" x14ac:dyDescent="0.3">
      <c r="A32" s="137"/>
      <c r="B32" s="37" t="s">
        <v>305</v>
      </c>
      <c r="C32" s="38" t="s">
        <v>306</v>
      </c>
      <c r="D32" s="18">
        <v>0</v>
      </c>
      <c r="E32" s="18">
        <v>4000</v>
      </c>
      <c r="F32" s="17">
        <v>687</v>
      </c>
      <c r="G32" s="48">
        <v>0</v>
      </c>
      <c r="H32" s="19"/>
      <c r="I32" s="19"/>
      <c r="J32" s="19"/>
      <c r="K32" s="19"/>
      <c r="L32" s="19"/>
      <c r="M32" s="46">
        <f t="shared" si="0"/>
        <v>0</v>
      </c>
      <c r="N32" s="30"/>
    </row>
    <row r="33" spans="1:14" s="10" customFormat="1" ht="20.100000000000001" customHeight="1" x14ac:dyDescent="0.3">
      <c r="A33" s="139" t="s">
        <v>35</v>
      </c>
      <c r="B33" s="107"/>
      <c r="C33" s="107"/>
      <c r="D33" s="107"/>
      <c r="E33" s="107"/>
      <c r="F33" s="95"/>
      <c r="G33" s="48">
        <v>0</v>
      </c>
      <c r="H33" s="19"/>
      <c r="I33" s="19"/>
      <c r="J33" s="19"/>
      <c r="K33" s="19"/>
      <c r="L33" s="19"/>
      <c r="M33" s="48">
        <f>SUM(M29:M32)</f>
        <v>0</v>
      </c>
      <c r="N33" s="30"/>
    </row>
    <row r="34" spans="1:14" s="10" customFormat="1" ht="20.100000000000001" customHeight="1" x14ac:dyDescent="0.3">
      <c r="A34" s="136" t="s">
        <v>307</v>
      </c>
      <c r="B34" s="35" t="s">
        <v>308</v>
      </c>
      <c r="C34" s="36" t="s">
        <v>309</v>
      </c>
      <c r="D34" s="16">
        <v>3000</v>
      </c>
      <c r="E34" s="16">
        <v>4000</v>
      </c>
      <c r="F34" s="17">
        <v>912</v>
      </c>
      <c r="G34" s="47">
        <v>2000</v>
      </c>
      <c r="H34" s="18"/>
      <c r="I34" s="18"/>
      <c r="J34" s="18"/>
      <c r="K34" s="18"/>
      <c r="L34" s="18"/>
      <c r="M34" s="46">
        <f t="shared" si="0"/>
        <v>1824000</v>
      </c>
      <c r="N34" s="30"/>
    </row>
    <row r="35" spans="1:14" s="10" customFormat="1" ht="20.100000000000001" customHeight="1" x14ac:dyDescent="0.3">
      <c r="A35" s="136"/>
      <c r="B35" s="35" t="s">
        <v>310</v>
      </c>
      <c r="C35" s="36" t="s">
        <v>311</v>
      </c>
      <c r="D35" s="16">
        <v>1473</v>
      </c>
      <c r="E35" s="16">
        <v>2000</v>
      </c>
      <c r="F35" s="17">
        <v>623</v>
      </c>
      <c r="G35" s="47">
        <v>1000</v>
      </c>
      <c r="H35" s="18"/>
      <c r="I35" s="18"/>
      <c r="J35" s="18"/>
      <c r="K35" s="18"/>
      <c r="L35" s="18"/>
      <c r="M35" s="46">
        <f t="shared" si="0"/>
        <v>623000</v>
      </c>
      <c r="N35" s="30"/>
    </row>
    <row r="36" spans="1:14" s="10" customFormat="1" ht="20.100000000000001" customHeight="1" x14ac:dyDescent="0.3">
      <c r="A36" s="136"/>
      <c r="B36" s="35" t="s">
        <v>312</v>
      </c>
      <c r="C36" s="36" t="s">
        <v>313</v>
      </c>
      <c r="D36" s="16">
        <v>1300</v>
      </c>
      <c r="E36" s="16">
        <v>2000</v>
      </c>
      <c r="F36" s="17">
        <v>1539</v>
      </c>
      <c r="G36" s="47">
        <v>1000</v>
      </c>
      <c r="H36" s="18"/>
      <c r="I36" s="18"/>
      <c r="J36" s="18"/>
      <c r="K36" s="18"/>
      <c r="L36" s="18"/>
      <c r="M36" s="46">
        <f t="shared" si="0"/>
        <v>1539000</v>
      </c>
      <c r="N36" s="30"/>
    </row>
    <row r="37" spans="1:14" s="10" customFormat="1" ht="20.100000000000001" customHeight="1" x14ac:dyDescent="0.3">
      <c r="A37" s="136"/>
      <c r="B37" s="35" t="s">
        <v>314</v>
      </c>
      <c r="C37" s="36" t="s">
        <v>315</v>
      </c>
      <c r="D37" s="16">
        <v>0</v>
      </c>
      <c r="E37" s="16">
        <v>4000</v>
      </c>
      <c r="F37" s="33">
        <v>892</v>
      </c>
      <c r="G37" s="47">
        <v>2000</v>
      </c>
      <c r="H37" s="18"/>
      <c r="I37" s="18"/>
      <c r="J37" s="18"/>
      <c r="K37" s="18"/>
      <c r="L37" s="18"/>
      <c r="M37" s="46">
        <f t="shared" si="0"/>
        <v>1784000</v>
      </c>
      <c r="N37" s="30"/>
    </row>
    <row r="38" spans="1:14" s="10" customFormat="1" ht="20.100000000000001" customHeight="1" x14ac:dyDescent="0.3">
      <c r="A38" s="136"/>
      <c r="B38" s="35" t="s">
        <v>316</v>
      </c>
      <c r="C38" s="36" t="s">
        <v>317</v>
      </c>
      <c r="D38" s="16">
        <v>700</v>
      </c>
      <c r="E38" s="16">
        <v>2000</v>
      </c>
      <c r="F38" s="33">
        <v>1539</v>
      </c>
      <c r="G38" s="47">
        <v>1000</v>
      </c>
      <c r="H38" s="18"/>
      <c r="I38" s="18"/>
      <c r="J38" s="18"/>
      <c r="K38" s="18"/>
      <c r="L38" s="18"/>
      <c r="M38" s="46">
        <f t="shared" si="0"/>
        <v>1539000</v>
      </c>
      <c r="N38" s="30"/>
    </row>
    <row r="39" spans="1:14" s="10" customFormat="1" ht="20.100000000000001" customHeight="1" x14ac:dyDescent="0.3">
      <c r="A39" s="136"/>
      <c r="B39" s="35" t="s">
        <v>318</v>
      </c>
      <c r="C39" s="36" t="s">
        <v>319</v>
      </c>
      <c r="D39" s="16">
        <v>0</v>
      </c>
      <c r="E39" s="16">
        <v>2000</v>
      </c>
      <c r="F39" s="17">
        <v>682</v>
      </c>
      <c r="G39" s="47">
        <v>1000</v>
      </c>
      <c r="H39" s="18"/>
      <c r="I39" s="18"/>
      <c r="J39" s="18"/>
      <c r="K39" s="18"/>
      <c r="L39" s="18"/>
      <c r="M39" s="46">
        <f t="shared" si="0"/>
        <v>682000</v>
      </c>
      <c r="N39" s="30"/>
    </row>
    <row r="40" spans="1:14" s="10" customFormat="1" ht="20.100000000000001" customHeight="1" x14ac:dyDescent="0.3">
      <c r="A40" s="136"/>
      <c r="B40" s="35" t="s">
        <v>320</v>
      </c>
      <c r="C40" s="36" t="s">
        <v>321</v>
      </c>
      <c r="D40" s="16">
        <v>480</v>
      </c>
      <c r="E40" s="16">
        <v>2000</v>
      </c>
      <c r="F40" s="17">
        <v>682</v>
      </c>
      <c r="G40" s="47">
        <v>1000</v>
      </c>
      <c r="H40" s="18"/>
      <c r="I40" s="18"/>
      <c r="J40" s="18"/>
      <c r="K40" s="18"/>
      <c r="L40" s="18"/>
      <c r="M40" s="46">
        <f t="shared" si="0"/>
        <v>682000</v>
      </c>
      <c r="N40" s="30"/>
    </row>
    <row r="41" spans="1:14" s="10" customFormat="1" ht="20.100000000000001" customHeight="1" x14ac:dyDescent="0.3">
      <c r="A41" s="136"/>
      <c r="B41" s="35" t="s">
        <v>322</v>
      </c>
      <c r="C41" s="36" t="s">
        <v>323</v>
      </c>
      <c r="D41" s="16">
        <v>0</v>
      </c>
      <c r="E41" s="16">
        <v>1000</v>
      </c>
      <c r="F41" s="17">
        <v>682</v>
      </c>
      <c r="G41" s="47">
        <v>0</v>
      </c>
      <c r="H41" s="18"/>
      <c r="I41" s="18"/>
      <c r="J41" s="18"/>
      <c r="K41" s="18"/>
      <c r="L41" s="18"/>
      <c r="M41" s="46">
        <f t="shared" si="0"/>
        <v>0</v>
      </c>
      <c r="N41" s="30"/>
    </row>
    <row r="42" spans="1:14" s="10" customFormat="1" ht="20.100000000000001" customHeight="1" x14ac:dyDescent="0.3">
      <c r="A42" s="136"/>
      <c r="B42" s="35" t="s">
        <v>324</v>
      </c>
      <c r="C42" s="36" t="s">
        <v>325</v>
      </c>
      <c r="D42" s="16">
        <v>0</v>
      </c>
      <c r="E42" s="16">
        <v>4000</v>
      </c>
      <c r="F42" s="17">
        <v>687</v>
      </c>
      <c r="G42" s="47">
        <v>1000</v>
      </c>
      <c r="H42" s="18"/>
      <c r="I42" s="18"/>
      <c r="J42" s="18"/>
      <c r="K42" s="18"/>
      <c r="L42" s="18"/>
      <c r="M42" s="46">
        <f t="shared" si="0"/>
        <v>687000</v>
      </c>
      <c r="N42" s="30"/>
    </row>
    <row r="43" spans="1:14" s="10" customFormat="1" ht="20.100000000000001" customHeight="1" x14ac:dyDescent="0.3">
      <c r="A43" s="136"/>
      <c r="B43" s="35" t="s">
        <v>326</v>
      </c>
      <c r="C43" s="36" t="s">
        <v>327</v>
      </c>
      <c r="D43" s="16">
        <v>17680</v>
      </c>
      <c r="E43" s="16">
        <v>30000</v>
      </c>
      <c r="F43" s="17">
        <v>202</v>
      </c>
      <c r="G43" s="47">
        <v>8000</v>
      </c>
      <c r="H43" s="18"/>
      <c r="I43" s="18"/>
      <c r="J43" s="18"/>
      <c r="K43" s="18"/>
      <c r="L43" s="18"/>
      <c r="M43" s="46">
        <f t="shared" si="0"/>
        <v>1616000</v>
      </c>
      <c r="N43" s="30"/>
    </row>
    <row r="44" spans="1:14" s="10" customFormat="1" ht="20.100000000000001" customHeight="1" x14ac:dyDescent="0.3">
      <c r="A44" s="136"/>
      <c r="B44" s="35" t="s">
        <v>328</v>
      </c>
      <c r="C44" s="36" t="s">
        <v>329</v>
      </c>
      <c r="D44" s="16">
        <v>9000</v>
      </c>
      <c r="E44" s="16">
        <v>12000</v>
      </c>
      <c r="F44" s="17">
        <v>274</v>
      </c>
      <c r="G44" s="47">
        <v>4000</v>
      </c>
      <c r="H44" s="18"/>
      <c r="I44" s="18"/>
      <c r="J44" s="18"/>
      <c r="K44" s="18"/>
      <c r="L44" s="18"/>
      <c r="M44" s="46">
        <f t="shared" si="0"/>
        <v>1096000</v>
      </c>
      <c r="N44" s="30"/>
    </row>
    <row r="45" spans="1:14" s="10" customFormat="1" ht="20.100000000000001" customHeight="1" x14ac:dyDescent="0.3">
      <c r="A45" s="136"/>
      <c r="B45" s="35" t="s">
        <v>330</v>
      </c>
      <c r="C45" s="36" t="s">
        <v>331</v>
      </c>
      <c r="D45" s="16">
        <v>500</v>
      </c>
      <c r="E45" s="16">
        <v>4000</v>
      </c>
      <c r="F45" s="17">
        <v>149</v>
      </c>
      <c r="G45" s="47">
        <v>1000</v>
      </c>
      <c r="H45" s="18"/>
      <c r="I45" s="18"/>
      <c r="J45" s="18"/>
      <c r="K45" s="18"/>
      <c r="L45" s="18"/>
      <c r="M45" s="46">
        <f t="shared" si="0"/>
        <v>149000</v>
      </c>
      <c r="N45" s="30"/>
    </row>
    <row r="46" spans="1:14" s="10" customFormat="1" ht="20.100000000000001" customHeight="1" x14ac:dyDescent="0.3">
      <c r="A46" s="139" t="s">
        <v>35</v>
      </c>
      <c r="B46" s="107"/>
      <c r="C46" s="107"/>
      <c r="D46" s="107"/>
      <c r="E46" s="107"/>
      <c r="F46" s="95"/>
      <c r="G46" s="48">
        <f>SUM(G29:G45)</f>
        <v>23000</v>
      </c>
      <c r="H46" s="19"/>
      <c r="I46" s="19"/>
      <c r="J46" s="19"/>
      <c r="K46" s="19"/>
      <c r="L46" s="19"/>
      <c r="M46" s="48">
        <f>SUM(M34:M45)</f>
        <v>12221000</v>
      </c>
      <c r="N46" s="30"/>
    </row>
    <row r="47" spans="1:14" s="10" customFormat="1" ht="20.100000000000001" customHeight="1" x14ac:dyDescent="0.3">
      <c r="A47" s="136" t="s">
        <v>332</v>
      </c>
      <c r="B47" s="15" t="s">
        <v>333</v>
      </c>
      <c r="C47" s="16" t="s">
        <v>334</v>
      </c>
      <c r="D47" s="16">
        <v>6000</v>
      </c>
      <c r="E47" s="16">
        <v>8000</v>
      </c>
      <c r="F47" s="17">
        <v>355</v>
      </c>
      <c r="G47" s="47">
        <v>4000</v>
      </c>
      <c r="H47" s="18"/>
      <c r="I47" s="18"/>
      <c r="J47" s="18"/>
      <c r="K47" s="18"/>
      <c r="L47" s="18"/>
      <c r="M47" s="46">
        <f t="shared" si="0"/>
        <v>1420000</v>
      </c>
      <c r="N47" s="30"/>
    </row>
    <row r="48" spans="1:14" s="10" customFormat="1" ht="20.100000000000001" customHeight="1" x14ac:dyDescent="0.3">
      <c r="A48" s="136"/>
      <c r="B48" s="15" t="s">
        <v>335</v>
      </c>
      <c r="C48" s="16" t="s">
        <v>336</v>
      </c>
      <c r="D48" s="16">
        <v>18000</v>
      </c>
      <c r="E48" s="16">
        <v>12000</v>
      </c>
      <c r="F48" s="17">
        <v>741</v>
      </c>
      <c r="G48" s="47">
        <v>0</v>
      </c>
      <c r="H48" s="18"/>
      <c r="I48" s="18"/>
      <c r="J48" s="18"/>
      <c r="K48" s="18"/>
      <c r="L48" s="18"/>
      <c r="M48" s="46">
        <f t="shared" si="0"/>
        <v>0</v>
      </c>
      <c r="N48" s="30"/>
    </row>
    <row r="49" spans="1:14" s="10" customFormat="1" ht="20.100000000000001" customHeight="1" x14ac:dyDescent="0.3">
      <c r="A49" s="136"/>
      <c r="B49" s="15" t="s">
        <v>337</v>
      </c>
      <c r="C49" s="16" t="s">
        <v>338</v>
      </c>
      <c r="D49" s="16">
        <v>1000</v>
      </c>
      <c r="E49" s="16">
        <v>4000</v>
      </c>
      <c r="F49" s="17">
        <v>528</v>
      </c>
      <c r="G49" s="47">
        <v>1000</v>
      </c>
      <c r="H49" s="18"/>
      <c r="I49" s="18"/>
      <c r="J49" s="18"/>
      <c r="K49" s="18"/>
      <c r="L49" s="18"/>
      <c r="M49" s="46">
        <f t="shared" si="0"/>
        <v>528000</v>
      </c>
      <c r="N49" s="30"/>
    </row>
    <row r="50" spans="1:14" s="10" customFormat="1" ht="20.100000000000001" customHeight="1" x14ac:dyDescent="0.3">
      <c r="A50" s="136"/>
      <c r="B50" s="15" t="s">
        <v>339</v>
      </c>
      <c r="C50" s="16" t="s">
        <v>340</v>
      </c>
      <c r="D50" s="16">
        <v>3560</v>
      </c>
      <c r="E50" s="16">
        <v>400</v>
      </c>
      <c r="F50" s="17">
        <v>707</v>
      </c>
      <c r="G50" s="47">
        <v>0</v>
      </c>
      <c r="H50" s="18"/>
      <c r="I50" s="18"/>
      <c r="J50" s="18"/>
      <c r="K50" s="18"/>
      <c r="L50" s="18"/>
      <c r="M50" s="46">
        <f t="shared" si="0"/>
        <v>0</v>
      </c>
      <c r="N50" s="30"/>
    </row>
    <row r="51" spans="1:14" s="10" customFormat="1" ht="20.100000000000001" customHeight="1" x14ac:dyDescent="0.3">
      <c r="A51" s="136"/>
      <c r="B51" s="15" t="s">
        <v>341</v>
      </c>
      <c r="C51" s="16" t="s">
        <v>342</v>
      </c>
      <c r="D51" s="16">
        <v>0</v>
      </c>
      <c r="E51" s="16">
        <v>70000</v>
      </c>
      <c r="F51" s="17">
        <v>783</v>
      </c>
      <c r="G51" s="47">
        <v>30000</v>
      </c>
      <c r="H51" s="18"/>
      <c r="I51" s="18"/>
      <c r="J51" s="18"/>
      <c r="K51" s="18"/>
      <c r="L51" s="18"/>
      <c r="M51" s="46">
        <f t="shared" si="0"/>
        <v>23490000</v>
      </c>
      <c r="N51" s="30"/>
    </row>
    <row r="52" spans="1:14" s="10" customFormat="1" ht="20.100000000000001" customHeight="1" x14ac:dyDescent="0.3">
      <c r="A52" s="136"/>
      <c r="B52" s="15" t="s">
        <v>343</v>
      </c>
      <c r="C52" s="16" t="s">
        <v>344</v>
      </c>
      <c r="D52" s="16">
        <v>20000</v>
      </c>
      <c r="E52" s="16">
        <v>12000</v>
      </c>
      <c r="F52" s="17">
        <v>743</v>
      </c>
      <c r="G52" s="47">
        <v>0</v>
      </c>
      <c r="H52" s="18"/>
      <c r="I52" s="18"/>
      <c r="J52" s="18"/>
      <c r="K52" s="18"/>
      <c r="L52" s="18"/>
      <c r="M52" s="46">
        <f t="shared" si="0"/>
        <v>0</v>
      </c>
      <c r="N52" s="30"/>
    </row>
    <row r="53" spans="1:14" s="10" customFormat="1" ht="20.100000000000001" customHeight="1" x14ac:dyDescent="0.3">
      <c r="A53" s="136"/>
      <c r="B53" s="15" t="s">
        <v>345</v>
      </c>
      <c r="C53" s="16" t="s">
        <v>346</v>
      </c>
      <c r="D53" s="16">
        <v>4000</v>
      </c>
      <c r="E53" s="16">
        <v>4000</v>
      </c>
      <c r="F53" s="17">
        <v>783</v>
      </c>
      <c r="G53" s="47">
        <v>2000</v>
      </c>
      <c r="H53" s="18"/>
      <c r="I53" s="18"/>
      <c r="J53" s="18"/>
      <c r="K53" s="18"/>
      <c r="L53" s="18"/>
      <c r="M53" s="46">
        <f t="shared" si="0"/>
        <v>1566000</v>
      </c>
      <c r="N53" s="30"/>
    </row>
    <row r="54" spans="1:14" s="10" customFormat="1" ht="20.100000000000001" customHeight="1" x14ac:dyDescent="0.3">
      <c r="A54" s="136"/>
      <c r="B54" s="15" t="s">
        <v>347</v>
      </c>
      <c r="C54" s="16" t="s">
        <v>348</v>
      </c>
      <c r="D54" s="16">
        <v>0</v>
      </c>
      <c r="E54" s="16">
        <v>400</v>
      </c>
      <c r="F54" s="17">
        <v>743</v>
      </c>
      <c r="G54" s="47">
        <v>1000</v>
      </c>
      <c r="H54" s="18"/>
      <c r="I54" s="18"/>
      <c r="J54" s="18"/>
      <c r="K54" s="18"/>
      <c r="L54" s="18"/>
      <c r="M54" s="46">
        <f t="shared" si="0"/>
        <v>743000</v>
      </c>
      <c r="N54" s="30"/>
    </row>
    <row r="55" spans="1:14" s="10" customFormat="1" ht="20.100000000000001" customHeight="1" x14ac:dyDescent="0.3">
      <c r="A55" s="136"/>
      <c r="B55" s="15" t="s">
        <v>349</v>
      </c>
      <c r="C55" s="16" t="s">
        <v>350</v>
      </c>
      <c r="D55" s="16">
        <v>0</v>
      </c>
      <c r="E55" s="16">
        <v>0</v>
      </c>
      <c r="F55" s="17">
        <v>0</v>
      </c>
      <c r="G55" s="47">
        <v>0</v>
      </c>
      <c r="H55" s="18"/>
      <c r="I55" s="18"/>
      <c r="J55" s="18"/>
      <c r="K55" s="18"/>
      <c r="L55" s="18"/>
      <c r="M55" s="46">
        <f t="shared" si="0"/>
        <v>0</v>
      </c>
      <c r="N55" s="30"/>
    </row>
    <row r="56" spans="1:14" s="10" customFormat="1" ht="20.100000000000001" customHeight="1" x14ac:dyDescent="0.3">
      <c r="A56" s="137"/>
      <c r="B56" s="15" t="s">
        <v>351</v>
      </c>
      <c r="C56" s="16" t="s">
        <v>352</v>
      </c>
      <c r="D56" s="16">
        <v>9000</v>
      </c>
      <c r="E56" s="16">
        <v>4000</v>
      </c>
      <c r="F56" s="17">
        <v>615</v>
      </c>
      <c r="G56" s="47">
        <v>0</v>
      </c>
      <c r="H56" s="18"/>
      <c r="I56" s="18"/>
      <c r="J56" s="18"/>
      <c r="K56" s="18"/>
      <c r="L56" s="18"/>
      <c r="M56" s="46">
        <f t="shared" si="0"/>
        <v>0</v>
      </c>
      <c r="N56" s="30"/>
    </row>
    <row r="57" spans="1:14" s="10" customFormat="1" ht="20.100000000000001" customHeight="1" x14ac:dyDescent="0.3">
      <c r="A57" s="137"/>
      <c r="B57" s="15" t="s">
        <v>353</v>
      </c>
      <c r="C57" s="16" t="s">
        <v>354</v>
      </c>
      <c r="D57" s="16">
        <v>26000</v>
      </c>
      <c r="E57" s="16">
        <v>20000</v>
      </c>
      <c r="F57" s="17">
        <v>568</v>
      </c>
      <c r="G57" s="47">
        <v>4000</v>
      </c>
      <c r="H57" s="18"/>
      <c r="I57" s="18"/>
      <c r="J57" s="18"/>
      <c r="K57" s="18"/>
      <c r="L57" s="18"/>
      <c r="M57" s="46">
        <f t="shared" si="0"/>
        <v>2272000</v>
      </c>
      <c r="N57" s="30"/>
    </row>
    <row r="58" spans="1:14" s="10" customFormat="1" ht="20.100000000000001" customHeight="1" x14ac:dyDescent="0.3">
      <c r="A58" s="139" t="s">
        <v>35</v>
      </c>
      <c r="B58" s="107"/>
      <c r="C58" s="107"/>
      <c r="D58" s="107"/>
      <c r="E58" s="107"/>
      <c r="F58" s="95"/>
      <c r="G58" s="48">
        <f>SUM(G47:G57)</f>
        <v>42000</v>
      </c>
      <c r="H58" s="19"/>
      <c r="I58" s="19"/>
      <c r="J58" s="19"/>
      <c r="K58" s="19"/>
      <c r="L58" s="19"/>
      <c r="M58" s="48">
        <f>SUM(M47:M57)</f>
        <v>30019000</v>
      </c>
      <c r="N58" s="30"/>
    </row>
    <row r="59" spans="1:14" s="10" customFormat="1" ht="20.100000000000001" customHeight="1" x14ac:dyDescent="0.3">
      <c r="A59" s="136" t="s">
        <v>355</v>
      </c>
      <c r="B59" s="15" t="s">
        <v>356</v>
      </c>
      <c r="C59" s="16" t="s">
        <v>357</v>
      </c>
      <c r="D59" s="16">
        <v>4000</v>
      </c>
      <c r="E59" s="16">
        <v>400</v>
      </c>
      <c r="F59" s="17">
        <v>447</v>
      </c>
      <c r="G59" s="47">
        <v>1000</v>
      </c>
      <c r="H59" s="18"/>
      <c r="I59" s="18"/>
      <c r="J59" s="18"/>
      <c r="K59" s="18"/>
      <c r="L59" s="18"/>
      <c r="M59" s="46">
        <f t="shared" si="0"/>
        <v>447000</v>
      </c>
      <c r="N59" s="30"/>
    </row>
    <row r="60" spans="1:14" s="10" customFormat="1" ht="20.100000000000001" customHeight="1" x14ac:dyDescent="0.3">
      <c r="A60" s="137"/>
      <c r="B60" s="15" t="s">
        <v>358</v>
      </c>
      <c r="C60" s="16" t="s">
        <v>359</v>
      </c>
      <c r="D60" s="16">
        <v>18000</v>
      </c>
      <c r="E60" s="16">
        <v>8000</v>
      </c>
      <c r="F60" s="17">
        <v>828</v>
      </c>
      <c r="G60" s="47">
        <v>0</v>
      </c>
      <c r="H60" s="18"/>
      <c r="I60" s="18"/>
      <c r="J60" s="18"/>
      <c r="K60" s="18"/>
      <c r="L60" s="18"/>
      <c r="M60" s="46">
        <f t="shared" si="0"/>
        <v>0</v>
      </c>
      <c r="N60" s="30"/>
    </row>
    <row r="61" spans="1:14" s="10" customFormat="1" ht="20.100000000000001" customHeight="1" x14ac:dyDescent="0.3">
      <c r="A61" s="137"/>
      <c r="B61" s="15" t="s">
        <v>360</v>
      </c>
      <c r="C61" s="16" t="s">
        <v>361</v>
      </c>
      <c r="D61" s="16">
        <v>1000</v>
      </c>
      <c r="E61" s="16">
        <v>400</v>
      </c>
      <c r="F61" s="17">
        <v>828</v>
      </c>
      <c r="G61" s="47">
        <v>2000</v>
      </c>
      <c r="H61" s="18"/>
      <c r="I61" s="18"/>
      <c r="J61" s="18"/>
      <c r="K61" s="18"/>
      <c r="L61" s="18"/>
      <c r="M61" s="46">
        <f t="shared" si="0"/>
        <v>1656000</v>
      </c>
      <c r="N61" s="30"/>
    </row>
    <row r="62" spans="1:14" s="10" customFormat="1" ht="20.100000000000001" customHeight="1" x14ac:dyDescent="0.3">
      <c r="A62" s="137"/>
      <c r="B62" s="15" t="s">
        <v>362</v>
      </c>
      <c r="C62" s="16" t="s">
        <v>363</v>
      </c>
      <c r="D62" s="16">
        <v>7000</v>
      </c>
      <c r="E62" s="16">
        <v>6000</v>
      </c>
      <c r="F62" s="17">
        <v>868</v>
      </c>
      <c r="G62" s="47">
        <v>1000</v>
      </c>
      <c r="H62" s="18"/>
      <c r="I62" s="18"/>
      <c r="J62" s="18"/>
      <c r="K62" s="18"/>
      <c r="L62" s="18"/>
      <c r="M62" s="46">
        <f t="shared" si="0"/>
        <v>868000</v>
      </c>
      <c r="N62" s="30"/>
    </row>
    <row r="63" spans="1:14" s="10" customFormat="1" ht="20.100000000000001" customHeight="1" x14ac:dyDescent="0.3">
      <c r="A63" s="137"/>
      <c r="B63" s="15" t="s">
        <v>364</v>
      </c>
      <c r="C63" s="16" t="s">
        <v>365</v>
      </c>
      <c r="D63" s="16">
        <v>8000</v>
      </c>
      <c r="E63" s="16">
        <v>400</v>
      </c>
      <c r="F63" s="17">
        <v>868</v>
      </c>
      <c r="G63" s="47">
        <v>0</v>
      </c>
      <c r="H63" s="18"/>
      <c r="I63" s="18"/>
      <c r="J63" s="18"/>
      <c r="K63" s="18"/>
      <c r="L63" s="18"/>
      <c r="M63" s="46">
        <f t="shared" si="0"/>
        <v>0</v>
      </c>
      <c r="N63" s="30"/>
    </row>
    <row r="64" spans="1:14" s="10" customFormat="1" ht="20.100000000000001" customHeight="1" x14ac:dyDescent="0.3">
      <c r="A64" s="137"/>
      <c r="B64" s="15" t="s">
        <v>366</v>
      </c>
      <c r="C64" s="16" t="s">
        <v>367</v>
      </c>
      <c r="D64" s="16">
        <v>2000</v>
      </c>
      <c r="E64" s="16">
        <v>4000</v>
      </c>
      <c r="F64" s="17">
        <v>836</v>
      </c>
      <c r="G64" s="47">
        <v>2000</v>
      </c>
      <c r="H64" s="18"/>
      <c r="I64" s="18"/>
      <c r="J64" s="18"/>
      <c r="K64" s="18"/>
      <c r="L64" s="18"/>
      <c r="M64" s="46">
        <f t="shared" si="0"/>
        <v>1672000</v>
      </c>
      <c r="N64" s="30"/>
    </row>
    <row r="65" spans="1:14" s="10" customFormat="1" ht="20.100000000000001" customHeight="1" x14ac:dyDescent="0.3">
      <c r="A65" s="137"/>
      <c r="B65" s="15" t="s">
        <v>368</v>
      </c>
      <c r="C65" s="16" t="s">
        <v>369</v>
      </c>
      <c r="D65" s="16">
        <v>0</v>
      </c>
      <c r="E65" s="16">
        <v>400</v>
      </c>
      <c r="F65" s="17">
        <v>836</v>
      </c>
      <c r="G65" s="47">
        <v>2000</v>
      </c>
      <c r="H65" s="18"/>
      <c r="I65" s="18"/>
      <c r="J65" s="18"/>
      <c r="K65" s="18"/>
      <c r="L65" s="18"/>
      <c r="M65" s="46">
        <f t="shared" si="0"/>
        <v>1672000</v>
      </c>
      <c r="N65" s="30"/>
    </row>
    <row r="66" spans="1:14" s="10" customFormat="1" ht="20.100000000000001" customHeight="1" x14ac:dyDescent="0.3">
      <c r="A66" s="137"/>
      <c r="B66" s="15" t="s">
        <v>370</v>
      </c>
      <c r="C66" s="16" t="s">
        <v>371</v>
      </c>
      <c r="D66" s="16">
        <v>0</v>
      </c>
      <c r="E66" s="16">
        <v>0</v>
      </c>
      <c r="F66" s="17">
        <v>0</v>
      </c>
      <c r="G66" s="47">
        <v>0</v>
      </c>
      <c r="H66" s="18"/>
      <c r="I66" s="18"/>
      <c r="J66" s="18"/>
      <c r="K66" s="18"/>
      <c r="L66" s="18"/>
      <c r="M66" s="46">
        <f t="shared" si="0"/>
        <v>0</v>
      </c>
      <c r="N66" s="30"/>
    </row>
    <row r="67" spans="1:14" s="10" customFormat="1" ht="20.100000000000001" customHeight="1" x14ac:dyDescent="0.3">
      <c r="A67" s="137"/>
      <c r="B67" s="15" t="s">
        <v>372</v>
      </c>
      <c r="C67" s="16" t="s">
        <v>373</v>
      </c>
      <c r="D67" s="16">
        <v>3000</v>
      </c>
      <c r="E67" s="16">
        <v>400</v>
      </c>
      <c r="F67" s="17">
        <v>549</v>
      </c>
      <c r="G67" s="47">
        <v>1000</v>
      </c>
      <c r="H67" s="18"/>
      <c r="I67" s="18"/>
      <c r="J67" s="18"/>
      <c r="K67" s="18"/>
      <c r="L67" s="18"/>
      <c r="M67" s="46">
        <f t="shared" si="0"/>
        <v>549000</v>
      </c>
      <c r="N67" s="30"/>
    </row>
    <row r="68" spans="1:14" s="10" customFormat="1" ht="20.100000000000001" customHeight="1" x14ac:dyDescent="0.3">
      <c r="A68" s="137"/>
      <c r="B68" s="15" t="s">
        <v>374</v>
      </c>
      <c r="C68" s="16" t="s">
        <v>375</v>
      </c>
      <c r="D68" s="16">
        <v>8183</v>
      </c>
      <c r="E68" s="16">
        <v>2000</v>
      </c>
      <c r="F68" s="17">
        <v>869</v>
      </c>
      <c r="G68" s="47">
        <v>0</v>
      </c>
      <c r="H68" s="18"/>
      <c r="I68" s="18"/>
      <c r="J68" s="18"/>
      <c r="K68" s="18"/>
      <c r="L68" s="18"/>
      <c r="M68" s="46">
        <f t="shared" si="0"/>
        <v>0</v>
      </c>
      <c r="N68" s="30"/>
    </row>
    <row r="69" spans="1:14" s="10" customFormat="1" ht="20.100000000000001" customHeight="1" x14ac:dyDescent="0.3">
      <c r="A69" s="137"/>
      <c r="B69" s="15" t="s">
        <v>376</v>
      </c>
      <c r="C69" s="16" t="s">
        <v>377</v>
      </c>
      <c r="D69" s="16">
        <v>4000</v>
      </c>
      <c r="E69" s="16">
        <v>400</v>
      </c>
      <c r="F69" s="17">
        <v>869</v>
      </c>
      <c r="G69" s="47">
        <v>0</v>
      </c>
      <c r="H69" s="18"/>
      <c r="I69" s="18"/>
      <c r="J69" s="18"/>
      <c r="K69" s="18"/>
      <c r="L69" s="18"/>
      <c r="M69" s="46">
        <f t="shared" si="0"/>
        <v>0</v>
      </c>
      <c r="N69" s="30"/>
    </row>
    <row r="70" spans="1:14" s="10" customFormat="1" ht="20.100000000000001" customHeight="1" x14ac:dyDescent="0.3">
      <c r="A70" s="137"/>
      <c r="B70" s="15" t="s">
        <v>378</v>
      </c>
      <c r="C70" s="16" t="s">
        <v>379</v>
      </c>
      <c r="D70" s="16">
        <v>8000</v>
      </c>
      <c r="E70" s="16">
        <v>6000</v>
      </c>
      <c r="F70" s="17">
        <v>948</v>
      </c>
      <c r="G70" s="47">
        <v>1000</v>
      </c>
      <c r="H70" s="18"/>
      <c r="I70" s="18"/>
      <c r="J70" s="18"/>
      <c r="K70" s="18"/>
      <c r="L70" s="18"/>
      <c r="M70" s="46">
        <f t="shared" si="0"/>
        <v>948000</v>
      </c>
      <c r="N70" s="30"/>
    </row>
    <row r="71" spans="1:14" s="10" customFormat="1" ht="20.100000000000001" customHeight="1" x14ac:dyDescent="0.3">
      <c r="A71" s="137"/>
      <c r="B71" s="15" t="s">
        <v>380</v>
      </c>
      <c r="C71" s="16" t="s">
        <v>381</v>
      </c>
      <c r="D71" s="16">
        <v>5440</v>
      </c>
      <c r="E71" s="16">
        <v>400</v>
      </c>
      <c r="F71" s="17">
        <v>948</v>
      </c>
      <c r="G71" s="47">
        <v>0</v>
      </c>
      <c r="H71" s="18"/>
      <c r="I71" s="18"/>
      <c r="J71" s="18"/>
      <c r="K71" s="18"/>
      <c r="L71" s="18"/>
      <c r="M71" s="46">
        <f t="shared" si="0"/>
        <v>0</v>
      </c>
      <c r="N71" s="30"/>
    </row>
    <row r="72" spans="1:14" s="10" customFormat="1" ht="20.100000000000001" customHeight="1" x14ac:dyDescent="0.3">
      <c r="A72" s="137"/>
      <c r="B72" s="15" t="s">
        <v>382</v>
      </c>
      <c r="C72" s="16" t="s">
        <v>383</v>
      </c>
      <c r="D72" s="16">
        <v>2360</v>
      </c>
      <c r="E72" s="16">
        <v>400</v>
      </c>
      <c r="F72" s="17">
        <v>877</v>
      </c>
      <c r="G72" s="47">
        <v>0</v>
      </c>
      <c r="H72" s="18"/>
      <c r="I72" s="18"/>
      <c r="J72" s="18"/>
      <c r="K72" s="18"/>
      <c r="L72" s="18"/>
      <c r="M72" s="46">
        <f t="shared" si="0"/>
        <v>0</v>
      </c>
      <c r="N72" s="30"/>
    </row>
    <row r="73" spans="1:14" s="10" customFormat="1" ht="20.100000000000001" customHeight="1" x14ac:dyDescent="0.3">
      <c r="A73" s="137"/>
      <c r="B73" s="15" t="s">
        <v>384</v>
      </c>
      <c r="C73" s="16" t="s">
        <v>385</v>
      </c>
      <c r="D73" s="16">
        <v>2000</v>
      </c>
      <c r="E73" s="16">
        <v>400</v>
      </c>
      <c r="F73" s="17">
        <v>868</v>
      </c>
      <c r="G73" s="47">
        <v>0</v>
      </c>
      <c r="H73" s="18"/>
      <c r="I73" s="18"/>
      <c r="J73" s="18"/>
      <c r="K73" s="18"/>
      <c r="L73" s="18"/>
      <c r="M73" s="46">
        <f t="shared" ref="M73:M136" si="1">F73*G73</f>
        <v>0</v>
      </c>
      <c r="N73" s="30"/>
    </row>
    <row r="74" spans="1:14" s="10" customFormat="1" ht="20.100000000000001" customHeight="1" x14ac:dyDescent="0.3">
      <c r="A74" s="139" t="s">
        <v>35</v>
      </c>
      <c r="B74" s="107"/>
      <c r="C74" s="107"/>
      <c r="D74" s="107"/>
      <c r="E74" s="107"/>
      <c r="F74" s="95"/>
      <c r="G74" s="48">
        <f>SUM(G59:G73)</f>
        <v>10000</v>
      </c>
      <c r="H74" s="19"/>
      <c r="I74" s="19"/>
      <c r="J74" s="19"/>
      <c r="K74" s="19"/>
      <c r="L74" s="19"/>
      <c r="M74" s="48">
        <f>SUM(M59:M73)</f>
        <v>7812000</v>
      </c>
      <c r="N74" s="30"/>
    </row>
    <row r="75" spans="1:14" s="10" customFormat="1" ht="20.100000000000001" customHeight="1" x14ac:dyDescent="0.3">
      <c r="A75" s="136" t="s">
        <v>386</v>
      </c>
      <c r="B75" s="39" t="s">
        <v>387</v>
      </c>
      <c r="C75" s="40" t="s">
        <v>388</v>
      </c>
      <c r="D75" s="16">
        <v>6000</v>
      </c>
      <c r="E75" s="16">
        <v>2000</v>
      </c>
      <c r="F75" s="17">
        <v>770</v>
      </c>
      <c r="G75" s="47">
        <v>0</v>
      </c>
      <c r="H75" s="18"/>
      <c r="I75" s="18"/>
      <c r="J75" s="18"/>
      <c r="K75" s="18"/>
      <c r="L75" s="18"/>
      <c r="M75" s="46">
        <f t="shared" si="1"/>
        <v>0</v>
      </c>
      <c r="N75" s="30"/>
    </row>
    <row r="76" spans="1:14" s="10" customFormat="1" ht="20.100000000000001" customHeight="1" x14ac:dyDescent="0.3">
      <c r="A76" s="136"/>
      <c r="B76" s="35" t="s">
        <v>389</v>
      </c>
      <c r="C76" s="41" t="s">
        <v>390</v>
      </c>
      <c r="D76" s="16">
        <v>2500</v>
      </c>
      <c r="E76" s="16">
        <v>400</v>
      </c>
      <c r="F76" s="17">
        <v>770</v>
      </c>
      <c r="G76" s="47">
        <v>0</v>
      </c>
      <c r="H76" s="18"/>
      <c r="I76" s="18"/>
      <c r="J76" s="18"/>
      <c r="K76" s="18"/>
      <c r="L76" s="18"/>
      <c r="M76" s="46">
        <f t="shared" si="1"/>
        <v>0</v>
      </c>
      <c r="N76" s="30"/>
    </row>
    <row r="77" spans="1:14" s="10" customFormat="1" ht="20.100000000000001" customHeight="1" x14ac:dyDescent="0.3">
      <c r="A77" s="136"/>
      <c r="B77" s="39" t="s">
        <v>391</v>
      </c>
      <c r="C77" s="40" t="s">
        <v>392</v>
      </c>
      <c r="D77" s="16">
        <v>6500</v>
      </c>
      <c r="E77" s="16">
        <v>2000</v>
      </c>
      <c r="F77" s="17">
        <v>730</v>
      </c>
      <c r="G77" s="47">
        <v>0</v>
      </c>
      <c r="H77" s="18"/>
      <c r="I77" s="18"/>
      <c r="J77" s="18"/>
      <c r="K77" s="18"/>
      <c r="L77" s="18"/>
      <c r="M77" s="46">
        <f t="shared" si="1"/>
        <v>0</v>
      </c>
      <c r="N77" s="30"/>
    </row>
    <row r="78" spans="1:14" s="10" customFormat="1" ht="20.100000000000001" customHeight="1" x14ac:dyDescent="0.3">
      <c r="A78" s="136"/>
      <c r="B78" s="39" t="s">
        <v>393</v>
      </c>
      <c r="C78" s="40" t="s">
        <v>394</v>
      </c>
      <c r="D78" s="16">
        <v>1000</v>
      </c>
      <c r="E78" s="16">
        <v>400</v>
      </c>
      <c r="F78" s="17">
        <v>745</v>
      </c>
      <c r="G78" s="47">
        <v>1000</v>
      </c>
      <c r="H78" s="18"/>
      <c r="I78" s="18"/>
      <c r="J78" s="18"/>
      <c r="K78" s="18"/>
      <c r="L78" s="18"/>
      <c r="M78" s="46">
        <f t="shared" si="1"/>
        <v>745000</v>
      </c>
      <c r="N78" s="30"/>
    </row>
    <row r="79" spans="1:14" s="10" customFormat="1" ht="20.100000000000001" customHeight="1" x14ac:dyDescent="0.3">
      <c r="A79" s="136"/>
      <c r="B79" s="39" t="s">
        <v>395</v>
      </c>
      <c r="C79" s="40" t="s">
        <v>396</v>
      </c>
      <c r="D79" s="16">
        <v>3000</v>
      </c>
      <c r="E79" s="16">
        <v>1000</v>
      </c>
      <c r="F79" s="17">
        <v>356</v>
      </c>
      <c r="G79" s="47">
        <v>0</v>
      </c>
      <c r="H79" s="18"/>
      <c r="I79" s="18"/>
      <c r="J79" s="18"/>
      <c r="K79" s="18"/>
      <c r="L79" s="18"/>
      <c r="M79" s="46">
        <f t="shared" si="1"/>
        <v>0</v>
      </c>
      <c r="N79" s="30"/>
    </row>
    <row r="80" spans="1:14" s="10" customFormat="1" ht="20.100000000000001" customHeight="1" x14ac:dyDescent="0.3">
      <c r="A80" s="136"/>
      <c r="B80" s="39" t="s">
        <v>397</v>
      </c>
      <c r="C80" s="40" t="s">
        <v>398</v>
      </c>
      <c r="D80" s="16">
        <v>1000</v>
      </c>
      <c r="E80" s="16">
        <v>400</v>
      </c>
      <c r="F80" s="17">
        <v>519</v>
      </c>
      <c r="G80" s="47">
        <v>0</v>
      </c>
      <c r="H80" s="18"/>
      <c r="I80" s="18"/>
      <c r="J80" s="18"/>
      <c r="K80" s="18"/>
      <c r="L80" s="18"/>
      <c r="M80" s="46">
        <f t="shared" si="1"/>
        <v>0</v>
      </c>
      <c r="N80" s="30"/>
    </row>
    <row r="81" spans="1:14" s="10" customFormat="1" ht="20.100000000000001" customHeight="1" x14ac:dyDescent="0.3">
      <c r="A81" s="139" t="s">
        <v>35</v>
      </c>
      <c r="B81" s="107"/>
      <c r="C81" s="107"/>
      <c r="D81" s="107"/>
      <c r="E81" s="107"/>
      <c r="F81" s="95"/>
      <c r="G81" s="48">
        <f>SUM(G75:G80)</f>
        <v>1000</v>
      </c>
      <c r="H81" s="19"/>
      <c r="I81" s="19"/>
      <c r="J81" s="19"/>
      <c r="K81" s="19"/>
      <c r="L81" s="19"/>
      <c r="M81" s="48">
        <f>SUM(M75:M80)</f>
        <v>745000</v>
      </c>
      <c r="N81" s="30"/>
    </row>
    <row r="82" spans="1:14" s="10" customFormat="1" ht="20.100000000000001" customHeight="1" x14ac:dyDescent="0.3">
      <c r="A82" s="136" t="s">
        <v>399</v>
      </c>
      <c r="B82" s="39" t="s">
        <v>400</v>
      </c>
      <c r="C82" s="40" t="s">
        <v>401</v>
      </c>
      <c r="D82" s="16">
        <v>1200</v>
      </c>
      <c r="E82" s="16">
        <v>4000</v>
      </c>
      <c r="F82" s="17">
        <v>783</v>
      </c>
      <c r="G82" s="47">
        <v>0</v>
      </c>
      <c r="H82" s="18"/>
      <c r="I82" s="18"/>
      <c r="J82" s="18"/>
      <c r="K82" s="18"/>
      <c r="L82" s="18"/>
      <c r="M82" s="46">
        <f t="shared" si="1"/>
        <v>0</v>
      </c>
      <c r="N82" s="30"/>
    </row>
    <row r="83" spans="1:14" s="10" customFormat="1" ht="20.100000000000001" customHeight="1" x14ac:dyDescent="0.3">
      <c r="A83" s="136"/>
      <c r="B83" s="39" t="s">
        <v>402</v>
      </c>
      <c r="C83" s="40" t="s">
        <v>403</v>
      </c>
      <c r="D83" s="16">
        <v>0</v>
      </c>
      <c r="E83" s="16">
        <v>4000</v>
      </c>
      <c r="F83" s="17">
        <v>743</v>
      </c>
      <c r="G83" s="47">
        <v>0</v>
      </c>
      <c r="H83" s="18"/>
      <c r="I83" s="18"/>
      <c r="J83" s="18"/>
      <c r="K83" s="18"/>
      <c r="L83" s="18"/>
      <c r="M83" s="46">
        <f t="shared" si="1"/>
        <v>0</v>
      </c>
      <c r="N83" s="30"/>
    </row>
    <row r="84" spans="1:14" s="10" customFormat="1" ht="20.100000000000001" customHeight="1" x14ac:dyDescent="0.3">
      <c r="A84" s="136"/>
      <c r="B84" s="39" t="s">
        <v>404</v>
      </c>
      <c r="C84" s="40" t="s">
        <v>405</v>
      </c>
      <c r="D84" s="16">
        <v>0</v>
      </c>
      <c r="E84" s="16">
        <v>400</v>
      </c>
      <c r="F84" s="17">
        <v>741</v>
      </c>
      <c r="G84" s="47">
        <v>0</v>
      </c>
      <c r="H84" s="18"/>
      <c r="I84" s="18"/>
      <c r="J84" s="18"/>
      <c r="K84" s="18"/>
      <c r="L84" s="18"/>
      <c r="M84" s="46">
        <f t="shared" si="1"/>
        <v>0</v>
      </c>
      <c r="N84" s="30"/>
    </row>
    <row r="85" spans="1:14" s="10" customFormat="1" ht="20.100000000000001" customHeight="1" x14ac:dyDescent="0.3">
      <c r="A85" s="136"/>
      <c r="B85" s="39" t="s">
        <v>406</v>
      </c>
      <c r="C85" s="40" t="s">
        <v>407</v>
      </c>
      <c r="D85" s="16">
        <v>0</v>
      </c>
      <c r="E85" s="16">
        <v>400</v>
      </c>
      <c r="F85" s="17">
        <v>450</v>
      </c>
      <c r="G85" s="47">
        <v>0</v>
      </c>
      <c r="H85" s="18"/>
      <c r="I85" s="18"/>
      <c r="J85" s="18"/>
      <c r="K85" s="18"/>
      <c r="L85" s="18"/>
      <c r="M85" s="46">
        <f t="shared" si="1"/>
        <v>0</v>
      </c>
      <c r="N85" s="30"/>
    </row>
    <row r="86" spans="1:14" s="10" customFormat="1" ht="20.100000000000001" customHeight="1" x14ac:dyDescent="0.3">
      <c r="A86" s="139" t="s">
        <v>35</v>
      </c>
      <c r="B86" s="107"/>
      <c r="C86" s="107"/>
      <c r="D86" s="107"/>
      <c r="E86" s="107"/>
      <c r="F86" s="95"/>
      <c r="G86" s="48">
        <v>0</v>
      </c>
      <c r="H86" s="19"/>
      <c r="I86" s="19"/>
      <c r="J86" s="19"/>
      <c r="K86" s="19"/>
      <c r="L86" s="19"/>
      <c r="M86" s="48">
        <f>SUM(M82:M85)</f>
        <v>0</v>
      </c>
      <c r="N86" s="30"/>
    </row>
    <row r="87" spans="1:14" s="10" customFormat="1" ht="20.100000000000001" customHeight="1" x14ac:dyDescent="0.3">
      <c r="A87" s="136" t="s">
        <v>408</v>
      </c>
      <c r="B87" s="20" t="s">
        <v>409</v>
      </c>
      <c r="C87" s="16" t="s">
        <v>410</v>
      </c>
      <c r="D87" s="16">
        <v>2712</v>
      </c>
      <c r="E87" s="16">
        <v>1000</v>
      </c>
      <c r="F87" s="17">
        <v>798</v>
      </c>
      <c r="G87" s="47">
        <v>0</v>
      </c>
      <c r="H87" s="18"/>
      <c r="I87" s="18"/>
      <c r="J87" s="18"/>
      <c r="K87" s="18"/>
      <c r="L87" s="18"/>
      <c r="M87" s="46">
        <f t="shared" si="1"/>
        <v>0</v>
      </c>
      <c r="N87" s="30"/>
    </row>
    <row r="88" spans="1:14" s="10" customFormat="1" ht="20.100000000000001" customHeight="1" x14ac:dyDescent="0.3">
      <c r="A88" s="136"/>
      <c r="B88" s="20" t="s">
        <v>411</v>
      </c>
      <c r="C88" s="16" t="s">
        <v>412</v>
      </c>
      <c r="D88" s="16">
        <v>1864</v>
      </c>
      <c r="E88" s="16">
        <v>400</v>
      </c>
      <c r="F88" s="17">
        <v>421</v>
      </c>
      <c r="G88" s="47">
        <v>0</v>
      </c>
      <c r="H88" s="18"/>
      <c r="I88" s="18"/>
      <c r="J88" s="18"/>
      <c r="K88" s="18"/>
      <c r="L88" s="18"/>
      <c r="M88" s="46">
        <f t="shared" si="1"/>
        <v>0</v>
      </c>
      <c r="N88" s="30"/>
    </row>
    <row r="89" spans="1:14" s="10" customFormat="1" ht="20.100000000000001" customHeight="1" x14ac:dyDescent="0.3">
      <c r="A89" s="136"/>
      <c r="B89" s="20" t="s">
        <v>413</v>
      </c>
      <c r="C89" s="16" t="s">
        <v>414</v>
      </c>
      <c r="D89" s="16">
        <v>5516</v>
      </c>
      <c r="E89" s="16">
        <v>3000</v>
      </c>
      <c r="F89" s="17">
        <v>624</v>
      </c>
      <c r="G89" s="47">
        <v>0</v>
      </c>
      <c r="H89" s="18"/>
      <c r="I89" s="18"/>
      <c r="J89" s="18"/>
      <c r="K89" s="18"/>
      <c r="L89" s="18"/>
      <c r="M89" s="46">
        <f t="shared" si="1"/>
        <v>0</v>
      </c>
      <c r="N89" s="30"/>
    </row>
    <row r="90" spans="1:14" s="10" customFormat="1" ht="20.100000000000001" customHeight="1" x14ac:dyDescent="0.3">
      <c r="A90" s="136"/>
      <c r="B90" s="20" t="s">
        <v>415</v>
      </c>
      <c r="C90" s="16" t="s">
        <v>416</v>
      </c>
      <c r="D90" s="16">
        <v>1206</v>
      </c>
      <c r="E90" s="16">
        <v>400</v>
      </c>
      <c r="F90" s="17">
        <v>720</v>
      </c>
      <c r="G90" s="47">
        <v>0</v>
      </c>
      <c r="H90" s="18"/>
      <c r="I90" s="18"/>
      <c r="J90" s="18"/>
      <c r="K90" s="18"/>
      <c r="L90" s="18"/>
      <c r="M90" s="46">
        <f t="shared" si="1"/>
        <v>0</v>
      </c>
      <c r="N90" s="30"/>
    </row>
    <row r="91" spans="1:14" s="10" customFormat="1" ht="20.100000000000001" customHeight="1" x14ac:dyDescent="0.3">
      <c r="A91" s="136"/>
      <c r="B91" s="20" t="s">
        <v>417</v>
      </c>
      <c r="C91" s="16" t="s">
        <v>418</v>
      </c>
      <c r="D91" s="16">
        <v>0</v>
      </c>
      <c r="E91" s="16">
        <v>6000</v>
      </c>
      <c r="F91" s="17">
        <v>792</v>
      </c>
      <c r="G91" s="47">
        <v>3000</v>
      </c>
      <c r="H91" s="18"/>
      <c r="I91" s="18"/>
      <c r="J91" s="18"/>
      <c r="K91" s="18"/>
      <c r="L91" s="18"/>
      <c r="M91" s="46">
        <f t="shared" si="1"/>
        <v>2376000</v>
      </c>
      <c r="N91" s="30"/>
    </row>
    <row r="92" spans="1:14" s="10" customFormat="1" ht="20.100000000000001" customHeight="1" x14ac:dyDescent="0.3">
      <c r="A92" s="136"/>
      <c r="B92" s="20" t="s">
        <v>419</v>
      </c>
      <c r="C92" s="16" t="s">
        <v>420</v>
      </c>
      <c r="D92" s="16">
        <v>1155</v>
      </c>
      <c r="E92" s="16">
        <v>200</v>
      </c>
      <c r="F92" s="17">
        <v>742</v>
      </c>
      <c r="G92" s="47">
        <v>0</v>
      </c>
      <c r="H92" s="18"/>
      <c r="I92" s="18"/>
      <c r="J92" s="18"/>
      <c r="K92" s="18"/>
      <c r="L92" s="18"/>
      <c r="M92" s="46">
        <f t="shared" si="1"/>
        <v>0</v>
      </c>
      <c r="N92" s="30"/>
    </row>
    <row r="93" spans="1:14" s="10" customFormat="1" ht="20.100000000000001" customHeight="1" x14ac:dyDescent="0.3">
      <c r="A93" s="139" t="s">
        <v>35</v>
      </c>
      <c r="B93" s="107"/>
      <c r="C93" s="107"/>
      <c r="D93" s="107"/>
      <c r="E93" s="107"/>
      <c r="F93" s="95"/>
      <c r="G93" s="48">
        <f>SUM(G82:G92)</f>
        <v>3000</v>
      </c>
      <c r="H93" s="19"/>
      <c r="I93" s="19"/>
      <c r="J93" s="19"/>
      <c r="K93" s="19"/>
      <c r="L93" s="19"/>
      <c r="M93" s="48">
        <f>SUM(M87:M92)</f>
        <v>2376000</v>
      </c>
      <c r="N93" s="30"/>
    </row>
    <row r="94" spans="1:14" s="10" customFormat="1" ht="20.100000000000001" customHeight="1" x14ac:dyDescent="0.3">
      <c r="A94" s="136" t="s">
        <v>421</v>
      </c>
      <c r="B94" s="15" t="s">
        <v>422</v>
      </c>
      <c r="C94" s="16" t="s">
        <v>423</v>
      </c>
      <c r="D94" s="16">
        <v>0</v>
      </c>
      <c r="E94" s="16">
        <v>2062</v>
      </c>
      <c r="F94" s="17">
        <v>440</v>
      </c>
      <c r="G94" s="47">
        <v>0</v>
      </c>
      <c r="H94" s="18"/>
      <c r="I94" s="18"/>
      <c r="J94" s="18"/>
      <c r="K94" s="18"/>
      <c r="L94" s="18"/>
      <c r="M94" s="46">
        <f t="shared" si="1"/>
        <v>0</v>
      </c>
      <c r="N94" s="30"/>
    </row>
    <row r="95" spans="1:14" s="10" customFormat="1" ht="20.100000000000001" customHeight="1" x14ac:dyDescent="0.3">
      <c r="A95" s="136"/>
      <c r="B95" s="15" t="s">
        <v>424</v>
      </c>
      <c r="C95" s="16" t="s">
        <v>425</v>
      </c>
      <c r="D95" s="16">
        <v>0</v>
      </c>
      <c r="E95" s="16">
        <v>0</v>
      </c>
      <c r="F95" s="17">
        <v>452</v>
      </c>
      <c r="G95" s="47">
        <v>0</v>
      </c>
      <c r="H95" s="18"/>
      <c r="I95" s="18"/>
      <c r="J95" s="18"/>
      <c r="K95" s="18"/>
      <c r="L95" s="18"/>
      <c r="M95" s="46">
        <f t="shared" si="1"/>
        <v>0</v>
      </c>
      <c r="N95" s="30"/>
    </row>
    <row r="96" spans="1:14" s="10" customFormat="1" ht="20.100000000000001" customHeight="1" x14ac:dyDescent="0.3">
      <c r="A96" s="136" t="s">
        <v>426</v>
      </c>
      <c r="B96" s="15" t="s">
        <v>427</v>
      </c>
      <c r="C96" s="16" t="s">
        <v>423</v>
      </c>
      <c r="D96" s="16">
        <v>2080</v>
      </c>
      <c r="E96" s="16">
        <v>0</v>
      </c>
      <c r="F96" s="17">
        <v>713</v>
      </c>
      <c r="G96" s="47">
        <v>1000</v>
      </c>
      <c r="H96" s="18"/>
      <c r="I96" s="18"/>
      <c r="J96" s="18"/>
      <c r="K96" s="18"/>
      <c r="L96" s="18"/>
      <c r="M96" s="46">
        <f t="shared" si="1"/>
        <v>713000</v>
      </c>
      <c r="N96" s="30"/>
    </row>
    <row r="97" spans="1:14" s="10" customFormat="1" ht="20.100000000000001" customHeight="1" x14ac:dyDescent="0.3">
      <c r="A97" s="137"/>
      <c r="B97" s="15" t="s">
        <v>428</v>
      </c>
      <c r="C97" s="16" t="s">
        <v>425</v>
      </c>
      <c r="D97" s="16">
        <v>170</v>
      </c>
      <c r="E97" s="16">
        <v>0</v>
      </c>
      <c r="F97" s="17">
        <v>844</v>
      </c>
      <c r="G97" s="47">
        <v>500</v>
      </c>
      <c r="H97" s="18"/>
      <c r="I97" s="18"/>
      <c r="J97" s="18"/>
      <c r="K97" s="18"/>
      <c r="L97" s="18"/>
      <c r="M97" s="46">
        <f t="shared" si="1"/>
        <v>422000</v>
      </c>
      <c r="N97" s="30"/>
    </row>
    <row r="98" spans="1:14" s="10" customFormat="1" ht="20.100000000000001" customHeight="1" x14ac:dyDescent="0.3">
      <c r="A98" s="139" t="s">
        <v>35</v>
      </c>
      <c r="B98" s="107"/>
      <c r="C98" s="107"/>
      <c r="D98" s="107"/>
      <c r="E98" s="107"/>
      <c r="F98" s="95"/>
      <c r="G98" s="48">
        <f>SUM(G94:G97)</f>
        <v>1500</v>
      </c>
      <c r="H98" s="19"/>
      <c r="I98" s="19"/>
      <c r="J98" s="19"/>
      <c r="K98" s="19"/>
      <c r="L98" s="19"/>
      <c r="M98" s="48">
        <f>SUM(M94:M97)</f>
        <v>1135000</v>
      </c>
      <c r="N98" s="30"/>
    </row>
    <row r="99" spans="1:14" s="10" customFormat="1" ht="20.100000000000001" customHeight="1" x14ac:dyDescent="0.3">
      <c r="A99" s="136" t="s">
        <v>429</v>
      </c>
      <c r="B99" s="15" t="s">
        <v>430</v>
      </c>
      <c r="C99" s="16" t="s">
        <v>431</v>
      </c>
      <c r="D99" s="16">
        <v>15000</v>
      </c>
      <c r="E99" s="16">
        <v>10000</v>
      </c>
      <c r="F99" s="17">
        <v>384</v>
      </c>
      <c r="G99" s="47">
        <v>2000</v>
      </c>
      <c r="H99" s="18"/>
      <c r="I99" s="18"/>
      <c r="J99" s="18"/>
      <c r="K99" s="18"/>
      <c r="L99" s="18"/>
      <c r="M99" s="46">
        <f t="shared" si="1"/>
        <v>768000</v>
      </c>
      <c r="N99" s="30"/>
    </row>
    <row r="100" spans="1:14" s="10" customFormat="1" ht="20.100000000000001" customHeight="1" x14ac:dyDescent="0.3">
      <c r="A100" s="137"/>
      <c r="B100" s="15" t="s">
        <v>432</v>
      </c>
      <c r="C100" s="16" t="s">
        <v>433</v>
      </c>
      <c r="D100" s="16">
        <v>0</v>
      </c>
      <c r="E100" s="16">
        <v>0</v>
      </c>
      <c r="F100" s="17">
        <v>0</v>
      </c>
      <c r="G100" s="47">
        <v>0</v>
      </c>
      <c r="H100" s="18"/>
      <c r="I100" s="18"/>
      <c r="J100" s="18"/>
      <c r="K100" s="18"/>
      <c r="L100" s="18"/>
      <c r="M100" s="46">
        <f t="shared" si="1"/>
        <v>0</v>
      </c>
      <c r="N100" s="30"/>
    </row>
    <row r="101" spans="1:14" s="10" customFormat="1" ht="20.100000000000001" customHeight="1" x14ac:dyDescent="0.3">
      <c r="A101" s="137"/>
      <c r="B101" s="15" t="s">
        <v>434</v>
      </c>
      <c r="C101" s="16" t="s">
        <v>435</v>
      </c>
      <c r="D101" s="16">
        <v>2700</v>
      </c>
      <c r="E101" s="16">
        <v>400</v>
      </c>
      <c r="F101" s="17">
        <v>410</v>
      </c>
      <c r="G101" s="47">
        <v>0</v>
      </c>
      <c r="H101" s="18"/>
      <c r="I101" s="18"/>
      <c r="J101" s="18"/>
      <c r="K101" s="18"/>
      <c r="L101" s="18"/>
      <c r="M101" s="46">
        <f t="shared" si="1"/>
        <v>0</v>
      </c>
      <c r="N101" s="30"/>
    </row>
    <row r="102" spans="1:14" s="10" customFormat="1" ht="20.100000000000001" customHeight="1" x14ac:dyDescent="0.3">
      <c r="A102" s="137"/>
      <c r="B102" s="15" t="s">
        <v>436</v>
      </c>
      <c r="C102" s="16" t="s">
        <v>437</v>
      </c>
      <c r="D102" s="16">
        <v>4000</v>
      </c>
      <c r="E102" s="16">
        <v>1000</v>
      </c>
      <c r="F102" s="17">
        <v>312</v>
      </c>
      <c r="G102" s="47">
        <v>0</v>
      </c>
      <c r="H102" s="18"/>
      <c r="I102" s="18"/>
      <c r="J102" s="18"/>
      <c r="K102" s="18"/>
      <c r="L102" s="18"/>
      <c r="M102" s="46">
        <f t="shared" si="1"/>
        <v>0</v>
      </c>
      <c r="N102" s="30"/>
    </row>
    <row r="103" spans="1:14" s="10" customFormat="1" ht="20.100000000000001" customHeight="1" x14ac:dyDescent="0.3">
      <c r="A103" s="137"/>
      <c r="B103" s="15" t="s">
        <v>438</v>
      </c>
      <c r="C103" s="16" t="s">
        <v>439</v>
      </c>
      <c r="D103" s="16">
        <v>3000</v>
      </c>
      <c r="E103" s="16">
        <v>1000</v>
      </c>
      <c r="F103" s="17">
        <v>341</v>
      </c>
      <c r="G103" s="47">
        <v>0</v>
      </c>
      <c r="H103" s="18"/>
      <c r="I103" s="18"/>
      <c r="J103" s="18"/>
      <c r="K103" s="18"/>
      <c r="L103" s="18"/>
      <c r="M103" s="46">
        <f t="shared" si="1"/>
        <v>0</v>
      </c>
      <c r="N103" s="30"/>
    </row>
    <row r="104" spans="1:14" s="10" customFormat="1" ht="20.100000000000001" customHeight="1" x14ac:dyDescent="0.3">
      <c r="A104" s="137"/>
      <c r="B104" s="15" t="s">
        <v>440</v>
      </c>
      <c r="C104" s="16" t="s">
        <v>441</v>
      </c>
      <c r="D104" s="16">
        <v>2000</v>
      </c>
      <c r="E104" s="16">
        <v>400</v>
      </c>
      <c r="F104" s="17">
        <v>312</v>
      </c>
      <c r="G104" s="47">
        <v>0</v>
      </c>
      <c r="H104" s="18"/>
      <c r="I104" s="18"/>
      <c r="J104" s="18"/>
      <c r="K104" s="18"/>
      <c r="L104" s="18"/>
      <c r="M104" s="46">
        <f t="shared" si="1"/>
        <v>0</v>
      </c>
      <c r="N104" s="30"/>
    </row>
    <row r="105" spans="1:14" s="10" customFormat="1" ht="20.100000000000001" customHeight="1" x14ac:dyDescent="0.3">
      <c r="A105" s="137"/>
      <c r="B105" s="15" t="s">
        <v>442</v>
      </c>
      <c r="C105" s="16" t="s">
        <v>443</v>
      </c>
      <c r="D105" s="16">
        <v>5000</v>
      </c>
      <c r="E105" s="16">
        <v>800</v>
      </c>
      <c r="F105" s="17">
        <v>383</v>
      </c>
      <c r="G105" s="47">
        <v>0</v>
      </c>
      <c r="H105" s="18"/>
      <c r="I105" s="18"/>
      <c r="J105" s="18"/>
      <c r="K105" s="18"/>
      <c r="L105" s="18"/>
      <c r="M105" s="46">
        <f t="shared" si="1"/>
        <v>0</v>
      </c>
      <c r="N105" s="30"/>
    </row>
    <row r="106" spans="1:14" s="10" customFormat="1" ht="20.100000000000001" customHeight="1" x14ac:dyDescent="0.3">
      <c r="A106" s="137"/>
      <c r="B106" s="15" t="s">
        <v>444</v>
      </c>
      <c r="C106" s="16" t="s">
        <v>445</v>
      </c>
      <c r="D106" s="16">
        <v>9000</v>
      </c>
      <c r="E106" s="16">
        <v>1400</v>
      </c>
      <c r="F106" s="17">
        <v>320</v>
      </c>
      <c r="G106" s="47">
        <v>0</v>
      </c>
      <c r="H106" s="18"/>
      <c r="I106" s="18"/>
      <c r="J106" s="18"/>
      <c r="K106" s="18"/>
      <c r="L106" s="18"/>
      <c r="M106" s="46">
        <f t="shared" si="1"/>
        <v>0</v>
      </c>
      <c r="N106" s="30"/>
    </row>
    <row r="107" spans="1:14" s="10" customFormat="1" ht="20.100000000000001" customHeight="1" x14ac:dyDescent="0.3">
      <c r="A107" s="137"/>
      <c r="B107" s="15" t="s">
        <v>446</v>
      </c>
      <c r="C107" s="16" t="s">
        <v>447</v>
      </c>
      <c r="D107" s="16">
        <v>2000</v>
      </c>
      <c r="E107" s="16">
        <v>400</v>
      </c>
      <c r="F107" s="17">
        <v>315</v>
      </c>
      <c r="G107" s="47">
        <v>0</v>
      </c>
      <c r="H107" s="18"/>
      <c r="I107" s="18"/>
      <c r="J107" s="18"/>
      <c r="K107" s="18"/>
      <c r="L107" s="18"/>
      <c r="M107" s="46">
        <f t="shared" si="1"/>
        <v>0</v>
      </c>
      <c r="N107" s="30"/>
    </row>
    <row r="108" spans="1:14" s="10" customFormat="1" ht="20.100000000000001" customHeight="1" x14ac:dyDescent="0.3">
      <c r="A108" s="137"/>
      <c r="B108" s="15" t="s">
        <v>448</v>
      </c>
      <c r="C108" s="16" t="s">
        <v>449</v>
      </c>
      <c r="D108" s="16">
        <v>2000</v>
      </c>
      <c r="E108" s="16">
        <v>4000</v>
      </c>
      <c r="F108" s="17">
        <v>310</v>
      </c>
      <c r="G108" s="47">
        <v>1000</v>
      </c>
      <c r="H108" s="18"/>
      <c r="I108" s="18"/>
      <c r="J108" s="18"/>
      <c r="K108" s="18"/>
      <c r="L108" s="18"/>
      <c r="M108" s="46">
        <f t="shared" si="1"/>
        <v>310000</v>
      </c>
      <c r="N108" s="30"/>
    </row>
    <row r="109" spans="1:14" s="10" customFormat="1" ht="20.100000000000001" customHeight="1" x14ac:dyDescent="0.3">
      <c r="A109" s="137"/>
      <c r="B109" s="15" t="s">
        <v>450</v>
      </c>
      <c r="C109" s="16" t="s">
        <v>451</v>
      </c>
      <c r="D109" s="16">
        <v>9000</v>
      </c>
      <c r="E109" s="16">
        <v>3000</v>
      </c>
      <c r="F109" s="17">
        <v>343</v>
      </c>
      <c r="G109" s="47">
        <v>0</v>
      </c>
      <c r="H109" s="18"/>
      <c r="I109" s="18"/>
      <c r="J109" s="18"/>
      <c r="K109" s="18"/>
      <c r="L109" s="18"/>
      <c r="M109" s="46">
        <f t="shared" si="1"/>
        <v>0</v>
      </c>
      <c r="N109" s="30"/>
    </row>
    <row r="110" spans="1:14" s="10" customFormat="1" ht="20.100000000000001" customHeight="1" x14ac:dyDescent="0.3">
      <c r="A110" s="137"/>
      <c r="B110" s="15" t="s">
        <v>452</v>
      </c>
      <c r="C110" s="16" t="s">
        <v>453</v>
      </c>
      <c r="D110" s="16">
        <v>2000</v>
      </c>
      <c r="E110" s="16">
        <v>400</v>
      </c>
      <c r="F110" s="17">
        <v>327</v>
      </c>
      <c r="G110" s="47">
        <v>0</v>
      </c>
      <c r="H110" s="18"/>
      <c r="I110" s="18"/>
      <c r="J110" s="18"/>
      <c r="K110" s="18"/>
      <c r="L110" s="18"/>
      <c r="M110" s="46">
        <f t="shared" si="1"/>
        <v>0</v>
      </c>
      <c r="N110" s="30"/>
    </row>
    <row r="111" spans="1:14" s="10" customFormat="1" ht="20.100000000000001" customHeight="1" x14ac:dyDescent="0.3">
      <c r="A111" s="137"/>
      <c r="B111" s="15" t="s">
        <v>454</v>
      </c>
      <c r="C111" s="16" t="s">
        <v>455</v>
      </c>
      <c r="D111" s="16">
        <v>500</v>
      </c>
      <c r="E111" s="16">
        <v>2000</v>
      </c>
      <c r="F111" s="17">
        <v>383</v>
      </c>
      <c r="G111" s="47">
        <v>2000</v>
      </c>
      <c r="H111" s="18"/>
      <c r="I111" s="18"/>
      <c r="J111" s="18"/>
      <c r="K111" s="18"/>
      <c r="L111" s="18"/>
      <c r="M111" s="46">
        <f t="shared" si="1"/>
        <v>766000</v>
      </c>
      <c r="N111" s="30"/>
    </row>
    <row r="112" spans="1:14" s="10" customFormat="1" ht="20.100000000000001" customHeight="1" x14ac:dyDescent="0.3">
      <c r="A112" s="137"/>
      <c r="B112" s="15" t="s">
        <v>456</v>
      </c>
      <c r="C112" s="16" t="s">
        <v>457</v>
      </c>
      <c r="D112" s="16">
        <v>9500</v>
      </c>
      <c r="E112" s="16">
        <v>1600</v>
      </c>
      <c r="F112" s="17">
        <v>500</v>
      </c>
      <c r="G112" s="47">
        <v>0</v>
      </c>
      <c r="H112" s="18"/>
      <c r="I112" s="18"/>
      <c r="J112" s="18"/>
      <c r="K112" s="18"/>
      <c r="L112" s="18"/>
      <c r="M112" s="46">
        <f t="shared" si="1"/>
        <v>0</v>
      </c>
      <c r="N112" s="30"/>
    </row>
    <row r="113" spans="1:14" s="10" customFormat="1" ht="20.100000000000001" customHeight="1" x14ac:dyDescent="0.3">
      <c r="A113" s="136" t="s">
        <v>458</v>
      </c>
      <c r="B113" s="15" t="s">
        <v>459</v>
      </c>
      <c r="C113" s="16" t="s">
        <v>460</v>
      </c>
      <c r="D113" s="16">
        <v>7000</v>
      </c>
      <c r="E113" s="16">
        <v>3000</v>
      </c>
      <c r="F113" s="17">
        <v>462</v>
      </c>
      <c r="G113" s="47">
        <v>0</v>
      </c>
      <c r="H113" s="18"/>
      <c r="I113" s="18"/>
      <c r="J113" s="18"/>
      <c r="K113" s="18"/>
      <c r="L113" s="18"/>
      <c r="M113" s="46">
        <f t="shared" si="1"/>
        <v>0</v>
      </c>
      <c r="N113" s="30"/>
    </row>
    <row r="114" spans="1:14" s="10" customFormat="1" ht="20.100000000000001" customHeight="1" x14ac:dyDescent="0.3">
      <c r="A114" s="137"/>
      <c r="B114" s="15" t="s">
        <v>461</v>
      </c>
      <c r="C114" s="16" t="s">
        <v>462</v>
      </c>
      <c r="D114" s="16">
        <v>550</v>
      </c>
      <c r="E114" s="16">
        <v>200</v>
      </c>
      <c r="F114" s="17">
        <v>465</v>
      </c>
      <c r="G114" s="47">
        <v>0</v>
      </c>
      <c r="H114" s="18"/>
      <c r="I114" s="18"/>
      <c r="J114" s="18"/>
      <c r="K114" s="18"/>
      <c r="L114" s="18"/>
      <c r="M114" s="46">
        <f t="shared" si="1"/>
        <v>0</v>
      </c>
      <c r="N114" s="30"/>
    </row>
    <row r="115" spans="1:14" s="10" customFormat="1" ht="20.100000000000001" customHeight="1" x14ac:dyDescent="0.3">
      <c r="A115" s="137"/>
      <c r="B115" s="15" t="s">
        <v>463</v>
      </c>
      <c r="C115" s="16" t="s">
        <v>449</v>
      </c>
      <c r="D115" s="16">
        <v>3400</v>
      </c>
      <c r="E115" s="16">
        <v>1400</v>
      </c>
      <c r="F115" s="17">
        <v>446</v>
      </c>
      <c r="G115" s="47">
        <v>0</v>
      </c>
      <c r="H115" s="18"/>
      <c r="I115" s="18"/>
      <c r="J115" s="18"/>
      <c r="K115" s="18"/>
      <c r="L115" s="18"/>
      <c r="M115" s="46">
        <f t="shared" si="1"/>
        <v>0</v>
      </c>
      <c r="N115" s="30"/>
    </row>
    <row r="116" spans="1:14" s="10" customFormat="1" ht="20.100000000000001" customHeight="1" x14ac:dyDescent="0.3">
      <c r="A116" s="137"/>
      <c r="B116" s="15" t="s">
        <v>464</v>
      </c>
      <c r="C116" s="16" t="s">
        <v>451</v>
      </c>
      <c r="D116" s="16">
        <v>1400</v>
      </c>
      <c r="E116" s="16">
        <v>800</v>
      </c>
      <c r="F116" s="17">
        <v>475</v>
      </c>
      <c r="G116" s="47">
        <v>500</v>
      </c>
      <c r="H116" s="18"/>
      <c r="I116" s="18"/>
      <c r="J116" s="18"/>
      <c r="K116" s="18"/>
      <c r="L116" s="18"/>
      <c r="M116" s="46">
        <f t="shared" si="1"/>
        <v>237500</v>
      </c>
      <c r="N116" s="30"/>
    </row>
    <row r="117" spans="1:14" s="10" customFormat="1" ht="20.100000000000001" customHeight="1" x14ac:dyDescent="0.3">
      <c r="A117" s="137"/>
      <c r="B117" s="15" t="s">
        <v>465</v>
      </c>
      <c r="C117" s="16" t="s">
        <v>466</v>
      </c>
      <c r="D117" s="16">
        <v>1470</v>
      </c>
      <c r="E117" s="16">
        <v>400</v>
      </c>
      <c r="F117" s="17">
        <v>427</v>
      </c>
      <c r="G117" s="47">
        <v>0</v>
      </c>
      <c r="H117" s="18"/>
      <c r="I117" s="18"/>
      <c r="J117" s="18"/>
      <c r="K117" s="18"/>
      <c r="L117" s="18"/>
      <c r="M117" s="46">
        <f t="shared" si="1"/>
        <v>0</v>
      </c>
      <c r="N117" s="30"/>
    </row>
    <row r="118" spans="1:14" s="10" customFormat="1" ht="20.100000000000001" customHeight="1" x14ac:dyDescent="0.3">
      <c r="A118" s="137"/>
      <c r="B118" s="15" t="s">
        <v>467</v>
      </c>
      <c r="C118" s="16" t="s">
        <v>468</v>
      </c>
      <c r="D118" s="16">
        <v>2000</v>
      </c>
      <c r="E118" s="16">
        <v>400</v>
      </c>
      <c r="F118" s="17">
        <v>416</v>
      </c>
      <c r="G118" s="47">
        <v>0</v>
      </c>
      <c r="H118" s="18"/>
      <c r="I118" s="18"/>
      <c r="J118" s="18"/>
      <c r="K118" s="18"/>
      <c r="L118" s="18"/>
      <c r="M118" s="46">
        <f t="shared" si="1"/>
        <v>0</v>
      </c>
      <c r="N118" s="30"/>
    </row>
    <row r="119" spans="1:14" s="10" customFormat="1" ht="20.100000000000001" customHeight="1" x14ac:dyDescent="0.3">
      <c r="A119" s="137"/>
      <c r="B119" s="15" t="s">
        <v>469</v>
      </c>
      <c r="C119" s="16" t="s">
        <v>453</v>
      </c>
      <c r="D119" s="16">
        <v>1500</v>
      </c>
      <c r="E119" s="16">
        <v>200</v>
      </c>
      <c r="F119" s="17">
        <v>436</v>
      </c>
      <c r="G119" s="47">
        <v>0</v>
      </c>
      <c r="H119" s="18"/>
      <c r="I119" s="18"/>
      <c r="J119" s="18"/>
      <c r="K119" s="18"/>
      <c r="L119" s="18"/>
      <c r="M119" s="46">
        <f t="shared" si="1"/>
        <v>0</v>
      </c>
      <c r="N119" s="30"/>
    </row>
    <row r="120" spans="1:14" s="10" customFormat="1" ht="20.100000000000001" customHeight="1" x14ac:dyDescent="0.3">
      <c r="A120" s="137"/>
      <c r="B120" s="15" t="s">
        <v>470</v>
      </c>
      <c r="C120" s="16" t="s">
        <v>455</v>
      </c>
      <c r="D120" s="16">
        <v>650</v>
      </c>
      <c r="E120" s="16">
        <v>1600</v>
      </c>
      <c r="F120" s="17">
        <v>468</v>
      </c>
      <c r="G120" s="47">
        <v>1500</v>
      </c>
      <c r="H120" s="18"/>
      <c r="I120" s="18"/>
      <c r="J120" s="18"/>
      <c r="K120" s="18"/>
      <c r="L120" s="18"/>
      <c r="M120" s="46">
        <f t="shared" si="1"/>
        <v>702000</v>
      </c>
      <c r="N120" s="30"/>
    </row>
    <row r="121" spans="1:14" s="10" customFormat="1" ht="20.100000000000001" customHeight="1" x14ac:dyDescent="0.3">
      <c r="A121" s="137"/>
      <c r="B121" s="15" t="s">
        <v>471</v>
      </c>
      <c r="C121" s="16" t="s">
        <v>457</v>
      </c>
      <c r="D121" s="16">
        <v>2500</v>
      </c>
      <c r="E121" s="16">
        <v>400</v>
      </c>
      <c r="F121" s="17">
        <v>603</v>
      </c>
      <c r="G121" s="47">
        <v>0</v>
      </c>
      <c r="H121" s="18"/>
      <c r="I121" s="18"/>
      <c r="J121" s="18"/>
      <c r="K121" s="18"/>
      <c r="L121" s="18"/>
      <c r="M121" s="46">
        <f t="shared" si="1"/>
        <v>0</v>
      </c>
      <c r="N121" s="30"/>
    </row>
    <row r="122" spans="1:14" s="10" customFormat="1" ht="20.100000000000001" customHeight="1" x14ac:dyDescent="0.3">
      <c r="A122" s="136" t="s">
        <v>472</v>
      </c>
      <c r="B122" s="15" t="s">
        <v>473</v>
      </c>
      <c r="C122" s="16" t="s">
        <v>474</v>
      </c>
      <c r="D122" s="16">
        <v>600</v>
      </c>
      <c r="E122" s="16">
        <v>120</v>
      </c>
      <c r="F122" s="17">
        <v>1287</v>
      </c>
      <c r="G122" s="47">
        <v>0</v>
      </c>
      <c r="H122" s="18"/>
      <c r="I122" s="18"/>
      <c r="J122" s="18"/>
      <c r="K122" s="18"/>
      <c r="L122" s="18"/>
      <c r="M122" s="46">
        <f t="shared" si="1"/>
        <v>0</v>
      </c>
      <c r="N122" s="30"/>
    </row>
    <row r="123" spans="1:14" s="10" customFormat="1" ht="20.100000000000001" customHeight="1" x14ac:dyDescent="0.3">
      <c r="A123" s="137"/>
      <c r="B123" s="15" t="s">
        <v>475</v>
      </c>
      <c r="C123" s="16" t="s">
        <v>476</v>
      </c>
      <c r="D123" s="16">
        <v>640</v>
      </c>
      <c r="E123" s="16">
        <v>80</v>
      </c>
      <c r="F123" s="17">
        <v>651</v>
      </c>
      <c r="G123" s="47">
        <v>0</v>
      </c>
      <c r="H123" s="18"/>
      <c r="I123" s="18"/>
      <c r="J123" s="18"/>
      <c r="K123" s="18"/>
      <c r="L123" s="18"/>
      <c r="M123" s="46">
        <f t="shared" si="1"/>
        <v>0</v>
      </c>
      <c r="N123" s="30"/>
    </row>
    <row r="124" spans="1:14" s="10" customFormat="1" ht="20.100000000000001" customHeight="1" x14ac:dyDescent="0.3">
      <c r="A124" s="137"/>
      <c r="B124" s="15" t="s">
        <v>477</v>
      </c>
      <c r="C124" s="16" t="s">
        <v>478</v>
      </c>
      <c r="D124" s="16">
        <v>260</v>
      </c>
      <c r="E124" s="16">
        <v>120</v>
      </c>
      <c r="F124" s="17">
        <v>1006</v>
      </c>
      <c r="G124" s="47">
        <v>0</v>
      </c>
      <c r="H124" s="18"/>
      <c r="I124" s="18"/>
      <c r="J124" s="18"/>
      <c r="K124" s="18"/>
      <c r="L124" s="18"/>
      <c r="M124" s="46">
        <f t="shared" si="1"/>
        <v>0</v>
      </c>
      <c r="N124" s="30"/>
    </row>
    <row r="125" spans="1:14" s="10" customFormat="1" ht="20.100000000000001" customHeight="1" x14ac:dyDescent="0.3">
      <c r="A125" s="137"/>
      <c r="B125" s="15" t="s">
        <v>479</v>
      </c>
      <c r="C125" s="16" t="s">
        <v>480</v>
      </c>
      <c r="D125" s="16">
        <v>350</v>
      </c>
      <c r="E125" s="16">
        <v>120</v>
      </c>
      <c r="F125" s="17">
        <v>651</v>
      </c>
      <c r="G125" s="47">
        <v>0</v>
      </c>
      <c r="H125" s="18"/>
      <c r="I125" s="18"/>
      <c r="J125" s="18"/>
      <c r="K125" s="18"/>
      <c r="L125" s="18"/>
      <c r="M125" s="46">
        <f t="shared" si="1"/>
        <v>0</v>
      </c>
      <c r="N125" s="30"/>
    </row>
    <row r="126" spans="1:14" s="10" customFormat="1" ht="20.100000000000001" customHeight="1" x14ac:dyDescent="0.3">
      <c r="A126" s="137"/>
      <c r="B126" s="15" t="s">
        <v>481</v>
      </c>
      <c r="C126" s="16" t="s">
        <v>482</v>
      </c>
      <c r="D126" s="16">
        <v>600</v>
      </c>
      <c r="E126" s="16">
        <v>120</v>
      </c>
      <c r="F126" s="17">
        <v>1102</v>
      </c>
      <c r="G126" s="47">
        <v>0</v>
      </c>
      <c r="H126" s="18"/>
      <c r="I126" s="18"/>
      <c r="J126" s="18"/>
      <c r="K126" s="18"/>
      <c r="L126" s="18"/>
      <c r="M126" s="46">
        <f t="shared" si="1"/>
        <v>0</v>
      </c>
      <c r="N126" s="30"/>
    </row>
    <row r="127" spans="1:14" s="10" customFormat="1" ht="20.100000000000001" customHeight="1" x14ac:dyDescent="0.3">
      <c r="A127" s="137"/>
      <c r="B127" s="15" t="s">
        <v>483</v>
      </c>
      <c r="C127" s="16" t="s">
        <v>484</v>
      </c>
      <c r="D127" s="16">
        <v>500</v>
      </c>
      <c r="E127" s="16">
        <v>120</v>
      </c>
      <c r="F127" s="17">
        <v>524</v>
      </c>
      <c r="G127" s="47">
        <v>0</v>
      </c>
      <c r="H127" s="18"/>
      <c r="I127" s="18"/>
      <c r="J127" s="18"/>
      <c r="K127" s="18"/>
      <c r="L127" s="18"/>
      <c r="M127" s="46">
        <f t="shared" si="1"/>
        <v>0</v>
      </c>
      <c r="N127" s="30"/>
    </row>
    <row r="128" spans="1:14" s="10" customFormat="1" ht="20.100000000000001" customHeight="1" x14ac:dyDescent="0.3">
      <c r="A128" s="137"/>
      <c r="B128" s="15" t="s">
        <v>485</v>
      </c>
      <c r="C128" s="16" t="s">
        <v>486</v>
      </c>
      <c r="D128" s="16">
        <v>280</v>
      </c>
      <c r="E128" s="16">
        <v>100</v>
      </c>
      <c r="F128" s="17">
        <v>876</v>
      </c>
      <c r="G128" s="47">
        <v>0</v>
      </c>
      <c r="H128" s="18"/>
      <c r="I128" s="18"/>
      <c r="J128" s="18"/>
      <c r="K128" s="18"/>
      <c r="L128" s="18"/>
      <c r="M128" s="46">
        <f t="shared" si="1"/>
        <v>0</v>
      </c>
      <c r="N128" s="30"/>
    </row>
    <row r="129" spans="1:14" s="10" customFormat="1" ht="20.100000000000001" customHeight="1" x14ac:dyDescent="0.3">
      <c r="A129" s="137"/>
      <c r="B129" s="15" t="s">
        <v>487</v>
      </c>
      <c r="C129" s="16" t="s">
        <v>488</v>
      </c>
      <c r="D129" s="16">
        <v>200</v>
      </c>
      <c r="E129" s="16">
        <v>60</v>
      </c>
      <c r="F129" s="17">
        <v>446</v>
      </c>
      <c r="G129" s="47">
        <v>0</v>
      </c>
      <c r="H129" s="18"/>
      <c r="I129" s="18"/>
      <c r="J129" s="18"/>
      <c r="K129" s="18"/>
      <c r="L129" s="18"/>
      <c r="M129" s="46">
        <f t="shared" si="1"/>
        <v>0</v>
      </c>
      <c r="N129" s="30"/>
    </row>
    <row r="130" spans="1:14" s="10" customFormat="1" ht="20.100000000000001" customHeight="1" x14ac:dyDescent="0.3">
      <c r="A130" s="137"/>
      <c r="B130" s="15" t="s">
        <v>489</v>
      </c>
      <c r="C130" s="16" t="s">
        <v>490</v>
      </c>
      <c r="D130" s="16">
        <v>100</v>
      </c>
      <c r="E130" s="16">
        <v>200</v>
      </c>
      <c r="F130" s="17">
        <v>936</v>
      </c>
      <c r="G130" s="47">
        <v>200</v>
      </c>
      <c r="H130" s="18"/>
      <c r="I130" s="18"/>
      <c r="J130" s="18"/>
      <c r="K130" s="18"/>
      <c r="L130" s="18"/>
      <c r="M130" s="46">
        <f t="shared" si="1"/>
        <v>187200</v>
      </c>
      <c r="N130" s="30"/>
    </row>
    <row r="131" spans="1:14" s="10" customFormat="1" ht="20.100000000000001" customHeight="1" x14ac:dyDescent="0.3">
      <c r="A131" s="137"/>
      <c r="B131" s="15" t="s">
        <v>491</v>
      </c>
      <c r="C131" s="16" t="s">
        <v>492</v>
      </c>
      <c r="D131" s="16">
        <v>26</v>
      </c>
      <c r="E131" s="16">
        <v>200</v>
      </c>
      <c r="F131" s="17">
        <v>457</v>
      </c>
      <c r="G131" s="47">
        <v>250</v>
      </c>
      <c r="H131" s="18"/>
      <c r="I131" s="18"/>
      <c r="J131" s="18"/>
      <c r="K131" s="18"/>
      <c r="L131" s="18"/>
      <c r="M131" s="46">
        <f t="shared" si="1"/>
        <v>114250</v>
      </c>
      <c r="N131" s="30"/>
    </row>
    <row r="132" spans="1:14" s="10" customFormat="1" ht="20.100000000000001" customHeight="1" x14ac:dyDescent="0.3">
      <c r="A132" s="137"/>
      <c r="B132" s="15" t="s">
        <v>493</v>
      </c>
      <c r="C132" s="16" t="s">
        <v>494</v>
      </c>
      <c r="D132" s="16">
        <v>800</v>
      </c>
      <c r="E132" s="16">
        <v>120</v>
      </c>
      <c r="F132" s="17">
        <v>653</v>
      </c>
      <c r="G132" s="47">
        <v>0</v>
      </c>
      <c r="H132" s="18"/>
      <c r="I132" s="18"/>
      <c r="J132" s="18"/>
      <c r="K132" s="18"/>
      <c r="L132" s="18"/>
      <c r="M132" s="46">
        <f t="shared" si="1"/>
        <v>0</v>
      </c>
      <c r="N132" s="30"/>
    </row>
    <row r="133" spans="1:14" s="10" customFormat="1" ht="20.100000000000001" customHeight="1" x14ac:dyDescent="0.3">
      <c r="A133" s="137"/>
      <c r="B133" s="15" t="s">
        <v>495</v>
      </c>
      <c r="C133" s="16" t="s">
        <v>496</v>
      </c>
      <c r="D133" s="16">
        <v>848</v>
      </c>
      <c r="E133" s="16">
        <v>120</v>
      </c>
      <c r="F133" s="17">
        <v>528</v>
      </c>
      <c r="G133" s="47">
        <v>0</v>
      </c>
      <c r="H133" s="18"/>
      <c r="I133" s="18"/>
      <c r="J133" s="18"/>
      <c r="K133" s="18"/>
      <c r="L133" s="18"/>
      <c r="M133" s="46">
        <f t="shared" si="1"/>
        <v>0</v>
      </c>
      <c r="N133" s="30"/>
    </row>
    <row r="134" spans="1:14" s="10" customFormat="1" ht="20.100000000000001" customHeight="1" x14ac:dyDescent="0.3">
      <c r="A134" s="136" t="s">
        <v>497</v>
      </c>
      <c r="B134" s="15" t="s">
        <v>498</v>
      </c>
      <c r="C134" s="16" t="s">
        <v>474</v>
      </c>
      <c r="D134" s="16">
        <v>0</v>
      </c>
      <c r="E134" s="16">
        <v>0</v>
      </c>
      <c r="F134" s="17">
        <v>0</v>
      </c>
      <c r="G134" s="47">
        <v>0</v>
      </c>
      <c r="H134" s="18"/>
      <c r="I134" s="18"/>
      <c r="J134" s="18"/>
      <c r="K134" s="18"/>
      <c r="L134" s="18"/>
      <c r="M134" s="46">
        <f t="shared" si="1"/>
        <v>0</v>
      </c>
      <c r="N134" s="30"/>
    </row>
    <row r="135" spans="1:14" s="10" customFormat="1" ht="20.100000000000001" customHeight="1" x14ac:dyDescent="0.3">
      <c r="A135" s="137"/>
      <c r="B135" s="15" t="s">
        <v>499</v>
      </c>
      <c r="C135" s="16" t="s">
        <v>478</v>
      </c>
      <c r="D135" s="16">
        <v>0</v>
      </c>
      <c r="E135" s="16">
        <v>0</v>
      </c>
      <c r="F135" s="17">
        <v>0</v>
      </c>
      <c r="G135" s="47">
        <v>0</v>
      </c>
      <c r="H135" s="18"/>
      <c r="I135" s="18"/>
      <c r="J135" s="18"/>
      <c r="K135" s="18"/>
      <c r="L135" s="18"/>
      <c r="M135" s="46">
        <f t="shared" si="1"/>
        <v>0</v>
      </c>
      <c r="N135" s="30"/>
    </row>
    <row r="136" spans="1:14" s="10" customFormat="1" ht="20.100000000000001" customHeight="1" x14ac:dyDescent="0.3">
      <c r="A136" s="137"/>
      <c r="B136" s="15" t="s">
        <v>500</v>
      </c>
      <c r="C136" s="16" t="s">
        <v>482</v>
      </c>
      <c r="D136" s="16">
        <v>0</v>
      </c>
      <c r="E136" s="16">
        <v>0</v>
      </c>
      <c r="F136" s="17">
        <v>0</v>
      </c>
      <c r="G136" s="47">
        <v>0</v>
      </c>
      <c r="H136" s="18"/>
      <c r="I136" s="18"/>
      <c r="J136" s="18"/>
      <c r="K136" s="18"/>
      <c r="L136" s="18"/>
      <c r="M136" s="46">
        <f t="shared" si="1"/>
        <v>0</v>
      </c>
      <c r="N136" s="30"/>
    </row>
    <row r="137" spans="1:14" s="10" customFormat="1" ht="20.100000000000001" customHeight="1" x14ac:dyDescent="0.3">
      <c r="A137" s="137"/>
      <c r="B137" s="15" t="s">
        <v>501</v>
      </c>
      <c r="C137" s="16" t="s">
        <v>502</v>
      </c>
      <c r="D137" s="16">
        <v>0</v>
      </c>
      <c r="E137" s="16">
        <v>0</v>
      </c>
      <c r="F137" s="17">
        <v>0</v>
      </c>
      <c r="G137" s="47">
        <v>0</v>
      </c>
      <c r="H137" s="18"/>
      <c r="I137" s="18"/>
      <c r="J137" s="18"/>
      <c r="K137" s="18"/>
      <c r="L137" s="18"/>
      <c r="M137" s="46">
        <f t="shared" ref="M137:M201" si="2">F137*G137</f>
        <v>0</v>
      </c>
      <c r="N137" s="30"/>
    </row>
    <row r="138" spans="1:14" s="10" customFormat="1" ht="20.100000000000001" customHeight="1" x14ac:dyDescent="0.3">
      <c r="A138" s="137"/>
      <c r="B138" s="15" t="s">
        <v>503</v>
      </c>
      <c r="C138" s="16" t="s">
        <v>486</v>
      </c>
      <c r="D138" s="16">
        <v>0</v>
      </c>
      <c r="E138" s="16">
        <v>0</v>
      </c>
      <c r="F138" s="17">
        <v>0</v>
      </c>
      <c r="G138" s="47">
        <v>0</v>
      </c>
      <c r="H138" s="18"/>
      <c r="I138" s="18"/>
      <c r="J138" s="18"/>
      <c r="K138" s="18"/>
      <c r="L138" s="18"/>
      <c r="M138" s="46">
        <f t="shared" si="2"/>
        <v>0</v>
      </c>
      <c r="N138" s="30"/>
    </row>
    <row r="139" spans="1:14" s="10" customFormat="1" ht="20.100000000000001" customHeight="1" x14ac:dyDescent="0.3">
      <c r="A139" s="137"/>
      <c r="B139" s="15" t="s">
        <v>504</v>
      </c>
      <c r="C139" s="16" t="s">
        <v>490</v>
      </c>
      <c r="D139" s="16">
        <v>0</v>
      </c>
      <c r="E139" s="16">
        <v>0</v>
      </c>
      <c r="F139" s="17">
        <v>0</v>
      </c>
      <c r="G139" s="47">
        <v>0</v>
      </c>
      <c r="H139" s="18"/>
      <c r="I139" s="18"/>
      <c r="J139" s="18"/>
      <c r="K139" s="18"/>
      <c r="L139" s="18"/>
      <c r="M139" s="46">
        <f t="shared" si="2"/>
        <v>0</v>
      </c>
      <c r="N139" s="30"/>
    </row>
    <row r="140" spans="1:14" s="10" customFormat="1" ht="20.100000000000001" customHeight="1" x14ac:dyDescent="0.3">
      <c r="A140" s="137"/>
      <c r="B140" s="15" t="s">
        <v>505</v>
      </c>
      <c r="C140" s="16" t="s">
        <v>494</v>
      </c>
      <c r="D140" s="16">
        <v>0</v>
      </c>
      <c r="E140" s="16">
        <v>0</v>
      </c>
      <c r="F140" s="17">
        <v>0</v>
      </c>
      <c r="G140" s="47">
        <v>0</v>
      </c>
      <c r="H140" s="18"/>
      <c r="I140" s="18"/>
      <c r="J140" s="18"/>
      <c r="K140" s="18"/>
      <c r="L140" s="18"/>
      <c r="M140" s="46">
        <f t="shared" si="2"/>
        <v>0</v>
      </c>
      <c r="N140" s="30"/>
    </row>
    <row r="141" spans="1:14" s="10" customFormat="1" ht="20.100000000000001" customHeight="1" x14ac:dyDescent="0.3">
      <c r="A141" s="28" t="s">
        <v>506</v>
      </c>
      <c r="B141" s="15" t="s">
        <v>507</v>
      </c>
      <c r="C141" s="16" t="s">
        <v>455</v>
      </c>
      <c r="D141" s="16">
        <v>450</v>
      </c>
      <c r="E141" s="16">
        <v>60</v>
      </c>
      <c r="F141" s="17">
        <v>1108</v>
      </c>
      <c r="G141" s="47">
        <v>0</v>
      </c>
      <c r="H141" s="18"/>
      <c r="I141" s="18"/>
      <c r="J141" s="18"/>
      <c r="K141" s="18"/>
      <c r="L141" s="18"/>
      <c r="M141" s="46">
        <f t="shared" si="2"/>
        <v>0</v>
      </c>
      <c r="N141" s="30"/>
    </row>
    <row r="142" spans="1:14" s="10" customFormat="1" ht="20.100000000000001" customHeight="1" x14ac:dyDescent="0.3">
      <c r="A142" s="136" t="s">
        <v>508</v>
      </c>
      <c r="B142" s="15" t="s">
        <v>509</v>
      </c>
      <c r="C142" s="16" t="s">
        <v>460</v>
      </c>
      <c r="D142" s="16">
        <v>1600</v>
      </c>
      <c r="E142" s="16">
        <v>400</v>
      </c>
      <c r="F142" s="17">
        <v>1145</v>
      </c>
      <c r="G142" s="47">
        <v>0</v>
      </c>
      <c r="H142" s="18"/>
      <c r="I142" s="18"/>
      <c r="J142" s="18"/>
      <c r="K142" s="18"/>
      <c r="L142" s="18"/>
      <c r="M142" s="46">
        <f t="shared" si="2"/>
        <v>0</v>
      </c>
      <c r="N142" s="30"/>
    </row>
    <row r="143" spans="1:14" s="10" customFormat="1" ht="20.100000000000001" customHeight="1" x14ac:dyDescent="0.3">
      <c r="A143" s="137"/>
      <c r="B143" s="15" t="s">
        <v>510</v>
      </c>
      <c r="C143" s="16" t="s">
        <v>466</v>
      </c>
      <c r="D143" s="16">
        <v>2500</v>
      </c>
      <c r="E143" s="16">
        <v>200</v>
      </c>
      <c r="F143" s="17">
        <v>986</v>
      </c>
      <c r="G143" s="47">
        <v>0</v>
      </c>
      <c r="H143" s="18"/>
      <c r="I143" s="18"/>
      <c r="J143" s="18"/>
      <c r="K143" s="18"/>
      <c r="L143" s="18"/>
      <c r="M143" s="46">
        <f t="shared" si="2"/>
        <v>0</v>
      </c>
      <c r="N143" s="30"/>
    </row>
    <row r="144" spans="1:14" s="10" customFormat="1" ht="20.100000000000001" customHeight="1" x14ac:dyDescent="0.3">
      <c r="A144" s="137"/>
      <c r="B144" s="15" t="s">
        <v>511</v>
      </c>
      <c r="C144" s="16" t="s">
        <v>449</v>
      </c>
      <c r="D144" s="16">
        <v>2800</v>
      </c>
      <c r="E144" s="16">
        <v>600</v>
      </c>
      <c r="F144" s="17">
        <v>762</v>
      </c>
      <c r="G144" s="47">
        <v>0</v>
      </c>
      <c r="H144" s="18"/>
      <c r="I144" s="18"/>
      <c r="J144" s="18"/>
      <c r="K144" s="18"/>
      <c r="L144" s="18"/>
      <c r="M144" s="46">
        <f t="shared" si="2"/>
        <v>0</v>
      </c>
      <c r="N144" s="30"/>
    </row>
    <row r="145" spans="1:14" s="10" customFormat="1" ht="20.100000000000001" customHeight="1" x14ac:dyDescent="0.3">
      <c r="A145" s="137"/>
      <c r="B145" s="15" t="s">
        <v>512</v>
      </c>
      <c r="C145" s="16" t="s">
        <v>451</v>
      </c>
      <c r="D145" s="16">
        <v>1000</v>
      </c>
      <c r="E145" s="16">
        <v>600</v>
      </c>
      <c r="F145" s="17">
        <v>897</v>
      </c>
      <c r="G145" s="47">
        <v>500</v>
      </c>
      <c r="H145" s="18"/>
      <c r="I145" s="18"/>
      <c r="J145" s="18"/>
      <c r="K145" s="18"/>
      <c r="L145" s="18"/>
      <c r="M145" s="46">
        <f t="shared" si="2"/>
        <v>448500</v>
      </c>
      <c r="N145" s="30"/>
    </row>
    <row r="146" spans="1:14" s="10" customFormat="1" ht="20.100000000000001" customHeight="1" x14ac:dyDescent="0.3">
      <c r="A146" s="137"/>
      <c r="B146" s="15" t="s">
        <v>513</v>
      </c>
      <c r="C146" s="16" t="s">
        <v>455</v>
      </c>
      <c r="D146" s="16">
        <v>4600</v>
      </c>
      <c r="E146" s="16">
        <v>200</v>
      </c>
      <c r="F146" s="17">
        <v>945</v>
      </c>
      <c r="G146" s="47">
        <v>0</v>
      </c>
      <c r="H146" s="18"/>
      <c r="I146" s="18"/>
      <c r="J146" s="18"/>
      <c r="K146" s="18"/>
      <c r="L146" s="18"/>
      <c r="M146" s="46">
        <f t="shared" si="2"/>
        <v>0</v>
      </c>
      <c r="N146" s="30"/>
    </row>
    <row r="147" spans="1:14" s="10" customFormat="1" ht="20.100000000000001" customHeight="1" x14ac:dyDescent="0.3">
      <c r="A147" s="139" t="s">
        <v>35</v>
      </c>
      <c r="B147" s="107"/>
      <c r="C147" s="107"/>
      <c r="D147" s="107"/>
      <c r="E147" s="107"/>
      <c r="F147" s="95"/>
      <c r="G147" s="48">
        <f>SUM(G99:G146)</f>
        <v>7950</v>
      </c>
      <c r="H147" s="19"/>
      <c r="I147" s="19"/>
      <c r="J147" s="19"/>
      <c r="K147" s="19"/>
      <c r="L147" s="19"/>
      <c r="M147" s="48">
        <f>SUM(M99:M146)</f>
        <v>3533450</v>
      </c>
      <c r="N147" s="30"/>
    </row>
    <row r="148" spans="1:14" s="10" customFormat="1" ht="20.100000000000001" customHeight="1" x14ac:dyDescent="0.3">
      <c r="A148" s="136" t="s">
        <v>514</v>
      </c>
      <c r="B148" s="20" t="s">
        <v>515</v>
      </c>
      <c r="C148" s="16" t="s">
        <v>516</v>
      </c>
      <c r="D148" s="16">
        <v>12000</v>
      </c>
      <c r="E148" s="16">
        <v>1000</v>
      </c>
      <c r="F148" s="33">
        <v>1019</v>
      </c>
      <c r="G148" s="47">
        <v>0</v>
      </c>
      <c r="H148" s="18"/>
      <c r="I148" s="18"/>
      <c r="J148" s="18"/>
      <c r="K148" s="18"/>
      <c r="L148" s="18"/>
      <c r="M148" s="46">
        <f t="shared" si="2"/>
        <v>0</v>
      </c>
      <c r="N148" s="30"/>
    </row>
    <row r="149" spans="1:14" s="10" customFormat="1" ht="20.100000000000001" customHeight="1" x14ac:dyDescent="0.3">
      <c r="A149" s="136"/>
      <c r="B149" s="20" t="s">
        <v>517</v>
      </c>
      <c r="C149" s="16" t="s">
        <v>518</v>
      </c>
      <c r="D149" s="16">
        <v>15000</v>
      </c>
      <c r="E149" s="16">
        <v>14000</v>
      </c>
      <c r="F149" s="33">
        <v>1019</v>
      </c>
      <c r="G149" s="47">
        <v>6000</v>
      </c>
      <c r="H149" s="18"/>
      <c r="I149" s="18"/>
      <c r="J149" s="18"/>
      <c r="K149" s="18"/>
      <c r="L149" s="18"/>
      <c r="M149" s="46">
        <f t="shared" si="2"/>
        <v>6114000</v>
      </c>
      <c r="N149" s="30"/>
    </row>
    <row r="150" spans="1:14" s="10" customFormat="1" ht="20.100000000000001" customHeight="1" x14ac:dyDescent="0.3">
      <c r="A150" s="136"/>
      <c r="B150" s="20" t="s">
        <v>519</v>
      </c>
      <c r="C150" s="16" t="s">
        <v>520</v>
      </c>
      <c r="D150" s="16">
        <v>2250</v>
      </c>
      <c r="E150" s="16">
        <v>20000</v>
      </c>
      <c r="F150" s="33">
        <v>580</v>
      </c>
      <c r="G150" s="47">
        <v>8000</v>
      </c>
      <c r="H150" s="18"/>
      <c r="I150" s="18"/>
      <c r="J150" s="18"/>
      <c r="K150" s="18"/>
      <c r="L150" s="18"/>
      <c r="M150" s="46">
        <f t="shared" si="2"/>
        <v>4640000</v>
      </c>
      <c r="N150" s="30"/>
    </row>
    <row r="151" spans="1:14" s="10" customFormat="1" ht="20.100000000000001" customHeight="1" x14ac:dyDescent="0.3">
      <c r="A151" s="136"/>
      <c r="B151" s="20" t="s">
        <v>521</v>
      </c>
      <c r="C151" s="16" t="s">
        <v>522</v>
      </c>
      <c r="D151" s="16">
        <v>7750</v>
      </c>
      <c r="E151" s="16">
        <v>0</v>
      </c>
      <c r="F151" s="33">
        <v>580</v>
      </c>
      <c r="G151" s="47">
        <v>2000</v>
      </c>
      <c r="H151" s="18"/>
      <c r="I151" s="18"/>
      <c r="J151" s="18"/>
      <c r="K151" s="18"/>
      <c r="L151" s="18"/>
      <c r="M151" s="46">
        <f t="shared" si="2"/>
        <v>1160000</v>
      </c>
      <c r="N151" s="30"/>
    </row>
    <row r="152" spans="1:14" s="10" customFormat="1" ht="20.100000000000001" customHeight="1" x14ac:dyDescent="0.3">
      <c r="A152" s="136"/>
      <c r="B152" s="20" t="s">
        <v>523</v>
      </c>
      <c r="C152" s="16" t="s">
        <v>524</v>
      </c>
      <c r="D152" s="16">
        <v>19000</v>
      </c>
      <c r="E152" s="16">
        <v>1000</v>
      </c>
      <c r="F152" s="33">
        <v>1004</v>
      </c>
      <c r="G152" s="47">
        <v>0</v>
      </c>
      <c r="H152" s="18"/>
      <c r="I152" s="18"/>
      <c r="J152" s="18"/>
      <c r="K152" s="18"/>
      <c r="L152" s="18"/>
      <c r="M152" s="46">
        <f t="shared" si="2"/>
        <v>0</v>
      </c>
      <c r="N152" s="30"/>
    </row>
    <row r="153" spans="1:14" s="10" customFormat="1" ht="20.100000000000001" customHeight="1" x14ac:dyDescent="0.3">
      <c r="A153" s="136"/>
      <c r="B153" s="20" t="s">
        <v>525</v>
      </c>
      <c r="C153" s="16" t="s">
        <v>526</v>
      </c>
      <c r="D153" s="16">
        <v>8200</v>
      </c>
      <c r="E153" s="16">
        <v>12000</v>
      </c>
      <c r="F153" s="33">
        <v>1002</v>
      </c>
      <c r="G153" s="47">
        <v>6000</v>
      </c>
      <c r="H153" s="18"/>
      <c r="I153" s="18"/>
      <c r="J153" s="18"/>
      <c r="K153" s="18"/>
      <c r="L153" s="18"/>
      <c r="M153" s="46">
        <f t="shared" si="2"/>
        <v>6012000</v>
      </c>
      <c r="N153" s="30"/>
    </row>
    <row r="154" spans="1:14" s="10" customFormat="1" ht="20.100000000000001" customHeight="1" x14ac:dyDescent="0.3">
      <c r="A154" s="136"/>
      <c r="B154" s="20" t="s">
        <v>527</v>
      </c>
      <c r="C154" s="16" t="s">
        <v>528</v>
      </c>
      <c r="D154" s="16">
        <v>3900</v>
      </c>
      <c r="E154" s="16">
        <v>1000</v>
      </c>
      <c r="F154" s="33">
        <v>648</v>
      </c>
      <c r="G154" s="47">
        <v>0</v>
      </c>
      <c r="H154" s="18"/>
      <c r="I154" s="18"/>
      <c r="J154" s="18"/>
      <c r="K154" s="18"/>
      <c r="L154" s="18"/>
      <c r="M154" s="46">
        <f t="shared" si="2"/>
        <v>0</v>
      </c>
      <c r="N154" s="30"/>
    </row>
    <row r="155" spans="1:14" s="10" customFormat="1" ht="20.100000000000001" customHeight="1" x14ac:dyDescent="0.3">
      <c r="A155" s="136" t="s">
        <v>529</v>
      </c>
      <c r="B155" s="20" t="s">
        <v>530</v>
      </c>
      <c r="C155" s="16" t="s">
        <v>531</v>
      </c>
      <c r="D155" s="16">
        <v>3900</v>
      </c>
      <c r="E155" s="16">
        <v>400</v>
      </c>
      <c r="F155" s="33">
        <v>1016</v>
      </c>
      <c r="G155" s="47">
        <v>0</v>
      </c>
      <c r="H155" s="18"/>
      <c r="I155" s="18"/>
      <c r="J155" s="18"/>
      <c r="K155" s="18"/>
      <c r="L155" s="18"/>
      <c r="M155" s="46">
        <f t="shared" si="2"/>
        <v>0</v>
      </c>
      <c r="N155" s="30"/>
    </row>
    <row r="156" spans="1:14" s="10" customFormat="1" ht="20.100000000000001" customHeight="1" x14ac:dyDescent="0.3">
      <c r="A156" s="136"/>
      <c r="B156" s="20" t="s">
        <v>532</v>
      </c>
      <c r="C156" s="16" t="s">
        <v>533</v>
      </c>
      <c r="D156" s="16">
        <v>5250</v>
      </c>
      <c r="E156" s="16">
        <v>2000</v>
      </c>
      <c r="F156" s="33">
        <v>1016</v>
      </c>
      <c r="G156" s="47">
        <v>1000</v>
      </c>
      <c r="H156" s="18"/>
      <c r="I156" s="18"/>
      <c r="J156" s="18"/>
      <c r="K156" s="18"/>
      <c r="L156" s="18"/>
      <c r="M156" s="46">
        <f t="shared" si="2"/>
        <v>1016000</v>
      </c>
      <c r="N156" s="30"/>
    </row>
    <row r="157" spans="1:14" s="10" customFormat="1" ht="20.100000000000001" customHeight="1" x14ac:dyDescent="0.3">
      <c r="A157" s="136"/>
      <c r="B157" s="20" t="s">
        <v>534</v>
      </c>
      <c r="C157" s="16" t="s">
        <v>535</v>
      </c>
      <c r="D157" s="16">
        <v>11320</v>
      </c>
      <c r="E157" s="16">
        <v>400</v>
      </c>
      <c r="F157" s="33">
        <v>561</v>
      </c>
      <c r="G157" s="47">
        <v>0</v>
      </c>
      <c r="H157" s="18"/>
      <c r="I157" s="18"/>
      <c r="J157" s="18"/>
      <c r="K157" s="18"/>
      <c r="L157" s="18"/>
      <c r="M157" s="46">
        <f t="shared" si="2"/>
        <v>0</v>
      </c>
      <c r="N157" s="30"/>
    </row>
    <row r="158" spans="1:14" s="10" customFormat="1" ht="20.100000000000001" customHeight="1" x14ac:dyDescent="0.3">
      <c r="A158" s="136"/>
      <c r="B158" s="20" t="s">
        <v>536</v>
      </c>
      <c r="C158" s="16" t="s">
        <v>537</v>
      </c>
      <c r="D158" s="16">
        <v>3600</v>
      </c>
      <c r="E158" s="16">
        <v>100</v>
      </c>
      <c r="F158" s="33">
        <v>1004</v>
      </c>
      <c r="G158" s="47">
        <v>0</v>
      </c>
      <c r="H158" s="18"/>
      <c r="I158" s="18"/>
      <c r="J158" s="18"/>
      <c r="K158" s="18"/>
      <c r="L158" s="18"/>
      <c r="M158" s="46">
        <f t="shared" si="2"/>
        <v>0</v>
      </c>
      <c r="N158" s="30"/>
    </row>
    <row r="159" spans="1:14" s="10" customFormat="1" ht="20.100000000000001" customHeight="1" x14ac:dyDescent="0.3">
      <c r="A159" s="136"/>
      <c r="B159" s="20" t="s">
        <v>538</v>
      </c>
      <c r="C159" s="16" t="s">
        <v>539</v>
      </c>
      <c r="D159" s="16">
        <v>22000</v>
      </c>
      <c r="E159" s="16">
        <v>12000</v>
      </c>
      <c r="F159" s="33">
        <v>1000</v>
      </c>
      <c r="G159" s="47">
        <v>0</v>
      </c>
      <c r="H159" s="18"/>
      <c r="I159" s="18"/>
      <c r="J159" s="18"/>
      <c r="K159" s="18"/>
      <c r="L159" s="18"/>
      <c r="M159" s="46">
        <f t="shared" si="2"/>
        <v>0</v>
      </c>
      <c r="N159" s="30"/>
    </row>
    <row r="160" spans="1:14" s="10" customFormat="1" ht="20.100000000000001" customHeight="1" x14ac:dyDescent="0.3">
      <c r="A160" s="136"/>
      <c r="B160" s="20" t="s">
        <v>540</v>
      </c>
      <c r="C160" s="16" t="s">
        <v>541</v>
      </c>
      <c r="D160" s="16">
        <v>2000</v>
      </c>
      <c r="E160" s="16">
        <v>400</v>
      </c>
      <c r="F160" s="33">
        <v>1004</v>
      </c>
      <c r="G160" s="47">
        <v>0</v>
      </c>
      <c r="H160" s="18"/>
      <c r="I160" s="18"/>
      <c r="J160" s="18"/>
      <c r="K160" s="18"/>
      <c r="L160" s="18"/>
      <c r="M160" s="46">
        <f t="shared" si="2"/>
        <v>0</v>
      </c>
      <c r="N160" s="30"/>
    </row>
    <row r="161" spans="1:14" s="10" customFormat="1" ht="20.100000000000001" customHeight="1" x14ac:dyDescent="0.3">
      <c r="A161" s="136" t="s">
        <v>542</v>
      </c>
      <c r="B161" s="20" t="s">
        <v>543</v>
      </c>
      <c r="C161" s="16" t="s">
        <v>544</v>
      </c>
      <c r="D161" s="16">
        <v>1200</v>
      </c>
      <c r="E161" s="16">
        <v>400</v>
      </c>
      <c r="F161" s="33">
        <v>829</v>
      </c>
      <c r="G161" s="47">
        <v>0</v>
      </c>
      <c r="H161" s="18"/>
      <c r="I161" s="18"/>
      <c r="J161" s="18"/>
      <c r="K161" s="18"/>
      <c r="L161" s="18"/>
      <c r="M161" s="46">
        <f t="shared" si="2"/>
        <v>0</v>
      </c>
      <c r="N161" s="30"/>
    </row>
    <row r="162" spans="1:14" s="10" customFormat="1" ht="20.100000000000001" customHeight="1" x14ac:dyDescent="0.3">
      <c r="A162" s="136"/>
      <c r="B162" s="20" t="s">
        <v>545</v>
      </c>
      <c r="C162" s="16" t="s">
        <v>546</v>
      </c>
      <c r="D162" s="16">
        <v>1000</v>
      </c>
      <c r="E162" s="16">
        <v>400</v>
      </c>
      <c r="F162" s="33">
        <v>829</v>
      </c>
      <c r="G162" s="47">
        <v>0</v>
      </c>
      <c r="H162" s="18"/>
      <c r="I162" s="18"/>
      <c r="J162" s="18"/>
      <c r="K162" s="18"/>
      <c r="L162" s="18"/>
      <c r="M162" s="46">
        <f t="shared" si="2"/>
        <v>0</v>
      </c>
      <c r="N162" s="30"/>
    </row>
    <row r="163" spans="1:14" s="10" customFormat="1" ht="20.100000000000001" customHeight="1" x14ac:dyDescent="0.3">
      <c r="A163" s="139" t="s">
        <v>547</v>
      </c>
      <c r="B163" s="107"/>
      <c r="C163" s="107"/>
      <c r="D163" s="107"/>
      <c r="E163" s="107"/>
      <c r="F163" s="95"/>
      <c r="G163" s="48">
        <f>SUM(G148:G162)</f>
        <v>23000</v>
      </c>
      <c r="H163" s="19"/>
      <c r="I163" s="19"/>
      <c r="J163" s="19"/>
      <c r="K163" s="19"/>
      <c r="L163" s="19"/>
      <c r="M163" s="48">
        <f>SUM(M148:M162)</f>
        <v>18942000</v>
      </c>
      <c r="N163" s="30"/>
    </row>
    <row r="164" spans="1:14" s="10" customFormat="1" ht="20.100000000000001" customHeight="1" x14ac:dyDescent="0.3">
      <c r="A164" s="141" t="s">
        <v>548</v>
      </c>
      <c r="B164" s="15" t="s">
        <v>549</v>
      </c>
      <c r="C164" s="16" t="s">
        <v>550</v>
      </c>
      <c r="D164" s="16">
        <v>60000</v>
      </c>
      <c r="E164" s="16">
        <v>100000</v>
      </c>
      <c r="F164" s="17">
        <v>133</v>
      </c>
      <c r="G164" s="47">
        <v>40000</v>
      </c>
      <c r="H164" s="18"/>
      <c r="I164" s="18"/>
      <c r="J164" s="18"/>
      <c r="K164" s="18"/>
      <c r="L164" s="18"/>
      <c r="M164" s="46">
        <f t="shared" si="2"/>
        <v>5320000</v>
      </c>
      <c r="N164" s="30"/>
    </row>
    <row r="165" spans="1:14" s="10" customFormat="1" ht="20.100000000000001" customHeight="1" x14ac:dyDescent="0.3">
      <c r="A165" s="142"/>
      <c r="B165" s="15" t="s">
        <v>551</v>
      </c>
      <c r="C165" s="16" t="s">
        <v>552</v>
      </c>
      <c r="D165" s="16">
        <v>20000</v>
      </c>
      <c r="E165" s="16">
        <v>50000</v>
      </c>
      <c r="F165" s="17">
        <v>133</v>
      </c>
      <c r="G165" s="47">
        <v>30000</v>
      </c>
      <c r="H165" s="18"/>
      <c r="I165" s="18"/>
      <c r="J165" s="18"/>
      <c r="K165" s="18"/>
      <c r="L165" s="18"/>
      <c r="M165" s="46">
        <f t="shared" si="2"/>
        <v>3990000</v>
      </c>
      <c r="N165" s="30"/>
    </row>
    <row r="166" spans="1:14" s="10" customFormat="1" ht="20.100000000000001" customHeight="1" x14ac:dyDescent="0.3">
      <c r="A166" s="142"/>
      <c r="B166" s="15" t="s">
        <v>551</v>
      </c>
      <c r="C166" s="16" t="s">
        <v>553</v>
      </c>
      <c r="D166" s="16">
        <v>20000</v>
      </c>
      <c r="E166" s="16">
        <v>50000</v>
      </c>
      <c r="F166" s="17">
        <v>133</v>
      </c>
      <c r="G166" s="47">
        <v>30000</v>
      </c>
      <c r="H166" s="18"/>
      <c r="I166" s="18"/>
      <c r="J166" s="18"/>
      <c r="K166" s="18"/>
      <c r="L166" s="18"/>
      <c r="M166" s="46">
        <f t="shared" si="2"/>
        <v>3990000</v>
      </c>
      <c r="N166" s="30"/>
    </row>
    <row r="167" spans="1:14" s="10" customFormat="1" ht="20.100000000000001" customHeight="1" x14ac:dyDescent="0.3">
      <c r="A167" s="142"/>
      <c r="B167" s="15">
        <v>444444</v>
      </c>
      <c r="C167" s="16" t="s">
        <v>554</v>
      </c>
      <c r="D167" s="16">
        <v>0</v>
      </c>
      <c r="E167" s="16">
        <v>50000</v>
      </c>
      <c r="F167" s="17">
        <v>133</v>
      </c>
      <c r="G167" s="47">
        <v>30000</v>
      </c>
      <c r="H167" s="18"/>
      <c r="I167" s="18"/>
      <c r="J167" s="18"/>
      <c r="K167" s="18"/>
      <c r="L167" s="18"/>
      <c r="M167" s="46">
        <f t="shared" si="2"/>
        <v>3990000</v>
      </c>
      <c r="N167" s="30"/>
    </row>
    <row r="168" spans="1:14" s="10" customFormat="1" ht="20.100000000000001" customHeight="1" x14ac:dyDescent="0.3">
      <c r="A168" s="143"/>
      <c r="B168" s="15">
        <v>444444</v>
      </c>
      <c r="C168" s="16" t="s">
        <v>555</v>
      </c>
      <c r="D168" s="16">
        <v>0</v>
      </c>
      <c r="E168" s="16">
        <v>50000</v>
      </c>
      <c r="F168" s="17">
        <v>133</v>
      </c>
      <c r="G168" s="47">
        <v>30000</v>
      </c>
      <c r="H168" s="18"/>
      <c r="I168" s="18"/>
      <c r="J168" s="18"/>
      <c r="K168" s="18"/>
      <c r="L168" s="18"/>
      <c r="M168" s="46">
        <f t="shared" si="2"/>
        <v>3990000</v>
      </c>
      <c r="N168" s="30"/>
    </row>
    <row r="169" spans="1:14" s="10" customFormat="1" ht="20.100000000000001" customHeight="1" x14ac:dyDescent="0.3">
      <c r="A169" s="144" t="s">
        <v>556</v>
      </c>
      <c r="B169" s="15" t="s">
        <v>557</v>
      </c>
      <c r="C169" s="16" t="s">
        <v>558</v>
      </c>
      <c r="D169" s="16">
        <v>6800</v>
      </c>
      <c r="E169" s="16">
        <v>6000</v>
      </c>
      <c r="F169" s="17">
        <v>63</v>
      </c>
      <c r="G169" s="47">
        <v>8000</v>
      </c>
      <c r="H169" s="18"/>
      <c r="I169" s="18"/>
      <c r="J169" s="18"/>
      <c r="K169" s="18"/>
      <c r="L169" s="18"/>
      <c r="M169" s="46">
        <f t="shared" si="2"/>
        <v>504000</v>
      </c>
      <c r="N169" s="30"/>
    </row>
    <row r="170" spans="1:14" s="10" customFormat="1" ht="20.100000000000001" customHeight="1" x14ac:dyDescent="0.3">
      <c r="A170" s="145"/>
      <c r="B170" s="15" t="s">
        <v>559</v>
      </c>
      <c r="C170" s="16" t="s">
        <v>560</v>
      </c>
      <c r="D170" s="16">
        <v>850</v>
      </c>
      <c r="E170" s="16">
        <v>3000</v>
      </c>
      <c r="F170" s="17">
        <v>82</v>
      </c>
      <c r="G170" s="47">
        <v>4000</v>
      </c>
      <c r="H170" s="18"/>
      <c r="I170" s="18"/>
      <c r="J170" s="18"/>
      <c r="K170" s="18"/>
      <c r="L170" s="18"/>
      <c r="M170" s="46">
        <f t="shared" si="2"/>
        <v>328000</v>
      </c>
      <c r="N170" s="30"/>
    </row>
    <row r="171" spans="1:14" s="10" customFormat="1" ht="20.100000000000001" customHeight="1" x14ac:dyDescent="0.3">
      <c r="A171" s="137" t="s">
        <v>561</v>
      </c>
      <c r="B171" s="15" t="s">
        <v>562</v>
      </c>
      <c r="C171" s="16" t="s">
        <v>563</v>
      </c>
      <c r="D171" s="16">
        <v>2700</v>
      </c>
      <c r="E171" s="16">
        <v>4000</v>
      </c>
      <c r="F171" s="17">
        <v>69</v>
      </c>
      <c r="G171" s="47">
        <v>2000</v>
      </c>
      <c r="H171" s="18"/>
      <c r="I171" s="18"/>
      <c r="J171" s="18"/>
      <c r="K171" s="18"/>
      <c r="L171" s="18"/>
      <c r="M171" s="46">
        <f t="shared" si="2"/>
        <v>138000</v>
      </c>
      <c r="N171" s="30"/>
    </row>
    <row r="172" spans="1:14" s="10" customFormat="1" ht="20.100000000000001" customHeight="1" x14ac:dyDescent="0.3">
      <c r="A172" s="137"/>
      <c r="B172" s="15" t="s">
        <v>564</v>
      </c>
      <c r="C172" s="16" t="s">
        <v>565</v>
      </c>
      <c r="D172" s="16">
        <v>9000</v>
      </c>
      <c r="E172" s="16">
        <v>4000</v>
      </c>
      <c r="F172" s="17">
        <v>125</v>
      </c>
      <c r="G172" s="47">
        <v>0</v>
      </c>
      <c r="H172" s="18"/>
      <c r="I172" s="18"/>
      <c r="J172" s="18"/>
      <c r="K172" s="18"/>
      <c r="L172" s="18"/>
      <c r="M172" s="46">
        <f t="shared" si="2"/>
        <v>0</v>
      </c>
      <c r="N172" s="30"/>
    </row>
    <row r="173" spans="1:14" s="10" customFormat="1" ht="20.100000000000001" customHeight="1" x14ac:dyDescent="0.3">
      <c r="A173" s="137" t="s">
        <v>566</v>
      </c>
      <c r="B173" s="15" t="s">
        <v>567</v>
      </c>
      <c r="C173" s="16" t="s">
        <v>568</v>
      </c>
      <c r="D173" s="16">
        <v>0</v>
      </c>
      <c r="E173" s="16">
        <v>16000</v>
      </c>
      <c r="F173" s="17">
        <v>69</v>
      </c>
      <c r="G173" s="47">
        <v>0</v>
      </c>
      <c r="H173" s="18"/>
      <c r="I173" s="18"/>
      <c r="J173" s="18"/>
      <c r="K173" s="18"/>
      <c r="L173" s="18"/>
      <c r="M173" s="46">
        <f t="shared" si="2"/>
        <v>0</v>
      </c>
      <c r="N173" s="30"/>
    </row>
    <row r="174" spans="1:14" s="10" customFormat="1" ht="20.100000000000001" customHeight="1" x14ac:dyDescent="0.3">
      <c r="A174" s="137"/>
      <c r="B174" s="15" t="s">
        <v>569</v>
      </c>
      <c r="C174" s="16" t="s">
        <v>570</v>
      </c>
      <c r="D174" s="16">
        <v>0</v>
      </c>
      <c r="E174" s="16">
        <v>8000</v>
      </c>
      <c r="F174" s="17">
        <v>296</v>
      </c>
      <c r="G174" s="47">
        <v>0</v>
      </c>
      <c r="H174" s="18"/>
      <c r="I174" s="18"/>
      <c r="J174" s="18"/>
      <c r="K174" s="18"/>
      <c r="L174" s="18"/>
      <c r="M174" s="46">
        <f t="shared" si="2"/>
        <v>0</v>
      </c>
      <c r="N174" s="30"/>
    </row>
    <row r="175" spans="1:14" s="10" customFormat="1" ht="20.100000000000001" customHeight="1" x14ac:dyDescent="0.3">
      <c r="A175" s="144" t="s">
        <v>730</v>
      </c>
      <c r="B175" s="20" t="s">
        <v>731</v>
      </c>
      <c r="C175" s="16" t="s">
        <v>735</v>
      </c>
      <c r="D175" s="16"/>
      <c r="E175" s="16"/>
      <c r="F175" s="17">
        <v>6756</v>
      </c>
      <c r="G175" s="47">
        <v>100</v>
      </c>
      <c r="H175" s="18"/>
      <c r="I175" s="18"/>
      <c r="J175" s="18"/>
      <c r="K175" s="18"/>
      <c r="L175" s="18"/>
      <c r="M175" s="46">
        <f t="shared" si="2"/>
        <v>675600</v>
      </c>
      <c r="N175" s="30"/>
    </row>
    <row r="176" spans="1:14" s="10" customFormat="1" ht="20.100000000000001" customHeight="1" x14ac:dyDescent="0.3">
      <c r="A176" s="146"/>
      <c r="B176" s="20" t="s">
        <v>732</v>
      </c>
      <c r="C176" s="16" t="s">
        <v>736</v>
      </c>
      <c r="D176" s="16"/>
      <c r="E176" s="16"/>
      <c r="F176" s="17">
        <v>6758</v>
      </c>
      <c r="G176" s="47">
        <v>100</v>
      </c>
      <c r="H176" s="18"/>
      <c r="I176" s="18"/>
      <c r="J176" s="18"/>
      <c r="K176" s="18"/>
      <c r="L176" s="18"/>
      <c r="M176" s="46">
        <f t="shared" si="2"/>
        <v>675800</v>
      </c>
      <c r="N176" s="30"/>
    </row>
    <row r="177" spans="1:14" s="10" customFormat="1" ht="20.100000000000001" customHeight="1" x14ac:dyDescent="0.3">
      <c r="A177" s="146"/>
      <c r="B177" s="20" t="s">
        <v>733</v>
      </c>
      <c r="C177" s="16" t="s">
        <v>737</v>
      </c>
      <c r="D177" s="16"/>
      <c r="E177" s="16"/>
      <c r="F177" s="17">
        <v>5509</v>
      </c>
      <c r="G177" s="47">
        <v>100</v>
      </c>
      <c r="H177" s="18"/>
      <c r="I177" s="18"/>
      <c r="J177" s="18"/>
      <c r="K177" s="18"/>
      <c r="L177" s="18"/>
      <c r="M177" s="46">
        <f t="shared" si="2"/>
        <v>550900</v>
      </c>
      <c r="N177" s="30"/>
    </row>
    <row r="178" spans="1:14" s="10" customFormat="1" ht="20.100000000000001" customHeight="1" x14ac:dyDescent="0.3">
      <c r="A178" s="145"/>
      <c r="B178" s="20" t="s">
        <v>734</v>
      </c>
      <c r="C178" s="16" t="s">
        <v>738</v>
      </c>
      <c r="D178" s="16"/>
      <c r="E178" s="16"/>
      <c r="F178" s="17">
        <v>5532</v>
      </c>
      <c r="G178" s="47">
        <v>100</v>
      </c>
      <c r="H178" s="18"/>
      <c r="I178" s="18"/>
      <c r="J178" s="18"/>
      <c r="K178" s="18"/>
      <c r="L178" s="18"/>
      <c r="M178" s="46">
        <f t="shared" si="2"/>
        <v>553200</v>
      </c>
      <c r="N178" s="30"/>
    </row>
    <row r="179" spans="1:14" s="10" customFormat="1" ht="20.100000000000001" customHeight="1" x14ac:dyDescent="0.3">
      <c r="A179" s="28" t="s">
        <v>571</v>
      </c>
      <c r="B179" s="15" t="s">
        <v>572</v>
      </c>
      <c r="C179" s="16" t="s">
        <v>573</v>
      </c>
      <c r="D179" s="16">
        <v>15300</v>
      </c>
      <c r="E179" s="16">
        <v>20000</v>
      </c>
      <c r="F179" s="17">
        <v>364</v>
      </c>
      <c r="G179" s="47">
        <v>0</v>
      </c>
      <c r="H179" s="18"/>
      <c r="I179" s="18"/>
      <c r="J179" s="18"/>
      <c r="K179" s="18"/>
      <c r="L179" s="18"/>
      <c r="M179" s="46">
        <f t="shared" si="2"/>
        <v>0</v>
      </c>
      <c r="N179" s="30"/>
    </row>
    <row r="180" spans="1:14" s="10" customFormat="1" ht="20.100000000000001" customHeight="1" x14ac:dyDescent="0.3">
      <c r="A180" s="133" t="s">
        <v>574</v>
      </c>
      <c r="B180" s="15" t="s">
        <v>575</v>
      </c>
      <c r="C180" s="16" t="s">
        <v>576</v>
      </c>
      <c r="D180" s="16">
        <v>48000</v>
      </c>
      <c r="E180" s="16">
        <v>30000</v>
      </c>
      <c r="F180" s="17">
        <v>85</v>
      </c>
      <c r="G180" s="47">
        <v>10000</v>
      </c>
      <c r="H180" s="18"/>
      <c r="I180" s="18"/>
      <c r="J180" s="18"/>
      <c r="K180" s="18"/>
      <c r="L180" s="18"/>
      <c r="M180" s="46">
        <f t="shared" si="2"/>
        <v>850000</v>
      </c>
      <c r="N180" s="30"/>
    </row>
    <row r="181" spans="1:14" s="10" customFormat="1" ht="20.100000000000001" customHeight="1" x14ac:dyDescent="0.3">
      <c r="A181" s="134"/>
      <c r="B181" s="15" t="s">
        <v>577</v>
      </c>
      <c r="C181" s="16" t="s">
        <v>578</v>
      </c>
      <c r="D181" s="16">
        <v>48000</v>
      </c>
      <c r="E181" s="16">
        <v>30000</v>
      </c>
      <c r="F181" s="17">
        <v>85</v>
      </c>
      <c r="G181" s="47">
        <v>10000</v>
      </c>
      <c r="H181" s="18"/>
      <c r="I181" s="18"/>
      <c r="J181" s="18"/>
      <c r="K181" s="18"/>
      <c r="L181" s="18"/>
      <c r="M181" s="46">
        <f t="shared" si="2"/>
        <v>850000</v>
      </c>
      <c r="N181" s="30"/>
    </row>
    <row r="182" spans="1:14" s="10" customFormat="1" ht="20.100000000000001" customHeight="1" x14ac:dyDescent="0.3">
      <c r="A182" s="134"/>
      <c r="B182" s="15" t="s">
        <v>579</v>
      </c>
      <c r="C182" s="16" t="s">
        <v>580</v>
      </c>
      <c r="D182" s="16">
        <v>48000</v>
      </c>
      <c r="E182" s="16">
        <v>30000</v>
      </c>
      <c r="F182" s="17">
        <v>85</v>
      </c>
      <c r="G182" s="47">
        <v>10000</v>
      </c>
      <c r="H182" s="18"/>
      <c r="I182" s="18"/>
      <c r="J182" s="18"/>
      <c r="K182" s="18"/>
      <c r="L182" s="18"/>
      <c r="M182" s="46">
        <f t="shared" si="2"/>
        <v>850000</v>
      </c>
      <c r="N182" s="30"/>
    </row>
    <row r="183" spans="1:14" s="10" customFormat="1" ht="20.100000000000001" customHeight="1" x14ac:dyDescent="0.3">
      <c r="A183" s="134"/>
      <c r="B183" s="62" t="s">
        <v>729</v>
      </c>
      <c r="C183" s="16" t="s">
        <v>739</v>
      </c>
      <c r="D183" s="16"/>
      <c r="E183" s="16"/>
      <c r="F183" s="17">
        <v>432</v>
      </c>
      <c r="G183" s="47">
        <v>40000</v>
      </c>
      <c r="H183" s="18"/>
      <c r="I183" s="18"/>
      <c r="J183" s="18"/>
      <c r="K183" s="18"/>
      <c r="L183" s="18"/>
      <c r="M183" s="46">
        <f t="shared" ref="M183:M184" si="3">F183*G183</f>
        <v>17280000</v>
      </c>
      <c r="N183" s="30"/>
    </row>
    <row r="184" spans="1:14" s="10" customFormat="1" ht="20.100000000000001" customHeight="1" x14ac:dyDescent="0.3">
      <c r="A184" s="134"/>
      <c r="B184" s="62" t="s">
        <v>746</v>
      </c>
      <c r="C184" s="64" t="s">
        <v>747</v>
      </c>
      <c r="D184" s="64"/>
      <c r="E184" s="64"/>
      <c r="F184" s="65">
        <v>1608</v>
      </c>
      <c r="G184" s="47">
        <v>40000</v>
      </c>
      <c r="H184" s="54"/>
      <c r="I184" s="54"/>
      <c r="J184" s="54"/>
      <c r="K184" s="54"/>
      <c r="L184" s="54"/>
      <c r="M184" s="46">
        <f t="shared" si="3"/>
        <v>64320000</v>
      </c>
      <c r="N184" s="66"/>
    </row>
    <row r="185" spans="1:14" s="10" customFormat="1" ht="20.100000000000001" customHeight="1" x14ac:dyDescent="0.3">
      <c r="A185" s="135"/>
      <c r="B185" s="62" t="s">
        <v>748</v>
      </c>
      <c r="C185" s="64" t="s">
        <v>749</v>
      </c>
      <c r="D185" s="64"/>
      <c r="E185" s="64"/>
      <c r="F185" s="65">
        <v>815</v>
      </c>
      <c r="G185" s="47">
        <v>10000</v>
      </c>
      <c r="H185" s="54"/>
      <c r="I185" s="54"/>
      <c r="J185" s="54"/>
      <c r="K185" s="54"/>
      <c r="L185" s="54"/>
      <c r="M185" s="46">
        <f t="shared" si="2"/>
        <v>8150000</v>
      </c>
      <c r="N185" s="66"/>
    </row>
    <row r="186" spans="1:14" s="10" customFormat="1" ht="20.100000000000001" customHeight="1" x14ac:dyDescent="0.3">
      <c r="A186" s="139" t="s">
        <v>35</v>
      </c>
      <c r="B186" s="107"/>
      <c r="C186" s="140"/>
      <c r="D186" s="140"/>
      <c r="E186" s="140"/>
      <c r="F186" s="99"/>
      <c r="G186" s="48">
        <f>SUM(G164:G185)</f>
        <v>294400</v>
      </c>
      <c r="H186" s="19"/>
      <c r="I186" s="19"/>
      <c r="J186" s="19"/>
      <c r="K186" s="19"/>
      <c r="L186" s="19"/>
      <c r="M186" s="48">
        <f>SUM(M164:M185)</f>
        <v>117005500</v>
      </c>
      <c r="N186" s="30"/>
    </row>
    <row r="187" spans="1:14" s="10" customFormat="1" ht="20.100000000000001" customHeight="1" x14ac:dyDescent="0.3">
      <c r="A187" s="137" t="s">
        <v>581</v>
      </c>
      <c r="B187" s="15" t="s">
        <v>582</v>
      </c>
      <c r="C187" s="16" t="s">
        <v>583</v>
      </c>
      <c r="D187" s="16">
        <v>1080</v>
      </c>
      <c r="E187" s="16">
        <v>6000</v>
      </c>
      <c r="F187" s="17">
        <v>328</v>
      </c>
      <c r="G187" s="47">
        <v>3000</v>
      </c>
      <c r="H187" s="18"/>
      <c r="I187" s="18"/>
      <c r="J187" s="18"/>
      <c r="K187" s="18"/>
      <c r="L187" s="18"/>
      <c r="M187" s="46">
        <f t="shared" si="2"/>
        <v>984000</v>
      </c>
      <c r="N187" s="30"/>
    </row>
    <row r="188" spans="1:14" s="10" customFormat="1" ht="20.100000000000001" customHeight="1" x14ac:dyDescent="0.3">
      <c r="A188" s="137"/>
      <c r="B188" s="15" t="s">
        <v>584</v>
      </c>
      <c r="C188" s="16" t="s">
        <v>585</v>
      </c>
      <c r="D188" s="16">
        <v>6480</v>
      </c>
      <c r="E188" s="16">
        <v>10000</v>
      </c>
      <c r="F188" s="17">
        <v>330</v>
      </c>
      <c r="G188" s="47">
        <v>3000</v>
      </c>
      <c r="H188" s="18"/>
      <c r="I188" s="18"/>
      <c r="J188" s="18"/>
      <c r="K188" s="18"/>
      <c r="L188" s="18"/>
      <c r="M188" s="46">
        <f t="shared" si="2"/>
        <v>990000</v>
      </c>
      <c r="N188" s="30"/>
    </row>
    <row r="189" spans="1:14" s="10" customFormat="1" ht="20.100000000000001" customHeight="1" x14ac:dyDescent="0.3">
      <c r="A189" s="137" t="s">
        <v>586</v>
      </c>
      <c r="B189" s="15" t="s">
        <v>587</v>
      </c>
      <c r="C189" s="16" t="s">
        <v>588</v>
      </c>
      <c r="D189" s="16">
        <v>4700</v>
      </c>
      <c r="E189" s="16">
        <v>6000</v>
      </c>
      <c r="F189" s="17">
        <v>1300</v>
      </c>
      <c r="G189" s="47">
        <v>2000</v>
      </c>
      <c r="H189" s="18"/>
      <c r="I189" s="18"/>
      <c r="J189" s="18"/>
      <c r="K189" s="18"/>
      <c r="L189" s="18"/>
      <c r="M189" s="46">
        <f t="shared" si="2"/>
        <v>2600000</v>
      </c>
      <c r="N189" s="30"/>
    </row>
    <row r="190" spans="1:14" s="10" customFormat="1" ht="20.100000000000001" customHeight="1" x14ac:dyDescent="0.3">
      <c r="A190" s="137"/>
      <c r="B190" s="15" t="s">
        <v>589</v>
      </c>
      <c r="C190" s="16" t="s">
        <v>590</v>
      </c>
      <c r="D190" s="16">
        <v>6600</v>
      </c>
      <c r="E190" s="16">
        <v>8000</v>
      </c>
      <c r="F190" s="17">
        <v>1300</v>
      </c>
      <c r="G190" s="47">
        <v>2000</v>
      </c>
      <c r="H190" s="18"/>
      <c r="I190" s="18"/>
      <c r="J190" s="18"/>
      <c r="K190" s="18"/>
      <c r="L190" s="18"/>
      <c r="M190" s="46">
        <f t="shared" si="2"/>
        <v>2600000</v>
      </c>
      <c r="N190" s="30"/>
    </row>
    <row r="191" spans="1:14" s="10" customFormat="1" ht="20.100000000000001" customHeight="1" x14ac:dyDescent="0.3">
      <c r="A191" s="137"/>
      <c r="B191" s="15" t="s">
        <v>591</v>
      </c>
      <c r="C191" s="16" t="s">
        <v>592</v>
      </c>
      <c r="D191" s="16">
        <v>3700</v>
      </c>
      <c r="E191" s="16">
        <v>400</v>
      </c>
      <c r="F191" s="17">
        <v>1300</v>
      </c>
      <c r="G191" s="47">
        <v>0</v>
      </c>
      <c r="H191" s="18"/>
      <c r="I191" s="18"/>
      <c r="J191" s="18"/>
      <c r="K191" s="18"/>
      <c r="L191" s="18"/>
      <c r="M191" s="46">
        <f t="shared" si="2"/>
        <v>0</v>
      </c>
      <c r="N191" s="30"/>
    </row>
    <row r="192" spans="1:14" s="10" customFormat="1" ht="20.100000000000001" customHeight="1" x14ac:dyDescent="0.3">
      <c r="A192" s="137"/>
      <c r="B192" s="15" t="s">
        <v>593</v>
      </c>
      <c r="C192" s="16" t="s">
        <v>594</v>
      </c>
      <c r="D192" s="16">
        <v>4480</v>
      </c>
      <c r="E192" s="16">
        <v>400</v>
      </c>
      <c r="F192" s="17">
        <v>1300</v>
      </c>
      <c r="G192" s="47">
        <v>0</v>
      </c>
      <c r="H192" s="18"/>
      <c r="I192" s="18"/>
      <c r="J192" s="18"/>
      <c r="K192" s="18"/>
      <c r="L192" s="18"/>
      <c r="M192" s="46">
        <f t="shared" si="2"/>
        <v>0</v>
      </c>
      <c r="N192" s="30"/>
    </row>
    <row r="193" spans="1:14" s="10" customFormat="1" ht="20.100000000000001" customHeight="1" x14ac:dyDescent="0.3">
      <c r="A193" s="137"/>
      <c r="B193" s="15" t="s">
        <v>595</v>
      </c>
      <c r="C193" s="16" t="s">
        <v>596</v>
      </c>
      <c r="D193" s="16">
        <v>0</v>
      </c>
      <c r="E193" s="16">
        <v>400</v>
      </c>
      <c r="F193" s="17">
        <v>2100</v>
      </c>
      <c r="G193" s="47">
        <v>0</v>
      </c>
      <c r="H193" s="18"/>
      <c r="I193" s="18"/>
      <c r="J193" s="18"/>
      <c r="K193" s="18"/>
      <c r="L193" s="18"/>
      <c r="M193" s="46">
        <f t="shared" si="2"/>
        <v>0</v>
      </c>
      <c r="N193" s="30"/>
    </row>
    <row r="194" spans="1:14" s="10" customFormat="1" ht="20.100000000000001" customHeight="1" x14ac:dyDescent="0.3">
      <c r="A194" s="137"/>
      <c r="B194" s="15" t="s">
        <v>597</v>
      </c>
      <c r="C194" s="16" t="s">
        <v>598</v>
      </c>
      <c r="D194" s="16">
        <v>0</v>
      </c>
      <c r="E194" s="16">
        <v>400</v>
      </c>
      <c r="F194" s="17">
        <v>2100</v>
      </c>
      <c r="G194" s="47">
        <v>0</v>
      </c>
      <c r="H194" s="18"/>
      <c r="I194" s="18"/>
      <c r="J194" s="18"/>
      <c r="K194" s="18"/>
      <c r="L194" s="18"/>
      <c r="M194" s="46">
        <f t="shared" si="2"/>
        <v>0</v>
      </c>
      <c r="N194" s="30"/>
    </row>
    <row r="195" spans="1:14" s="10" customFormat="1" ht="20.100000000000001" customHeight="1" x14ac:dyDescent="0.3">
      <c r="A195" s="137" t="s">
        <v>599</v>
      </c>
      <c r="B195" s="15" t="s">
        <v>600</v>
      </c>
      <c r="C195" s="16" t="s">
        <v>601</v>
      </c>
      <c r="D195" s="16">
        <v>0</v>
      </c>
      <c r="E195" s="16">
        <v>2000</v>
      </c>
      <c r="F195" s="17">
        <v>265</v>
      </c>
      <c r="G195" s="47">
        <v>500</v>
      </c>
      <c r="H195" s="18"/>
      <c r="I195" s="18"/>
      <c r="J195" s="18"/>
      <c r="K195" s="18"/>
      <c r="L195" s="18"/>
      <c r="M195" s="46">
        <f t="shared" si="2"/>
        <v>132500</v>
      </c>
      <c r="N195" s="30"/>
    </row>
    <row r="196" spans="1:14" s="10" customFormat="1" ht="20.100000000000001" customHeight="1" x14ac:dyDescent="0.3">
      <c r="A196" s="137"/>
      <c r="B196" s="15" t="s">
        <v>602</v>
      </c>
      <c r="C196" s="16" t="s">
        <v>603</v>
      </c>
      <c r="D196" s="16">
        <v>0</v>
      </c>
      <c r="E196" s="16">
        <v>2000</v>
      </c>
      <c r="F196" s="17">
        <v>265</v>
      </c>
      <c r="G196" s="47">
        <v>500</v>
      </c>
      <c r="H196" s="18"/>
      <c r="I196" s="18"/>
      <c r="J196" s="18"/>
      <c r="K196" s="18"/>
      <c r="L196" s="18"/>
      <c r="M196" s="46">
        <f t="shared" si="2"/>
        <v>132500</v>
      </c>
      <c r="N196" s="30"/>
    </row>
    <row r="197" spans="1:14" s="10" customFormat="1" ht="20.100000000000001" customHeight="1" x14ac:dyDescent="0.3">
      <c r="A197" s="137"/>
      <c r="B197" s="15" t="s">
        <v>604</v>
      </c>
      <c r="C197" s="16" t="s">
        <v>605</v>
      </c>
      <c r="D197" s="16">
        <v>0</v>
      </c>
      <c r="E197" s="16">
        <v>4000</v>
      </c>
      <c r="F197" s="17">
        <v>265</v>
      </c>
      <c r="G197" s="47">
        <v>1000</v>
      </c>
      <c r="H197" s="18"/>
      <c r="I197" s="18"/>
      <c r="J197" s="18"/>
      <c r="K197" s="18"/>
      <c r="L197" s="18"/>
      <c r="M197" s="46">
        <f t="shared" si="2"/>
        <v>265000</v>
      </c>
      <c r="N197" s="30"/>
    </row>
    <row r="198" spans="1:14" s="10" customFormat="1" ht="20.100000000000001" customHeight="1" x14ac:dyDescent="0.3">
      <c r="A198" s="136" t="s">
        <v>606</v>
      </c>
      <c r="B198" s="15" t="s">
        <v>607</v>
      </c>
      <c r="C198" s="16" t="s">
        <v>608</v>
      </c>
      <c r="D198" s="16">
        <v>0</v>
      </c>
      <c r="E198" s="16">
        <v>0</v>
      </c>
      <c r="F198" s="17">
        <v>705</v>
      </c>
      <c r="G198" s="47">
        <v>1000</v>
      </c>
      <c r="H198" s="18"/>
      <c r="I198" s="18"/>
      <c r="J198" s="18"/>
      <c r="K198" s="18"/>
      <c r="L198" s="18"/>
      <c r="M198" s="46">
        <f t="shared" si="2"/>
        <v>705000</v>
      </c>
      <c r="N198" s="42"/>
    </row>
    <row r="199" spans="1:14" s="10" customFormat="1" ht="20.100000000000001" customHeight="1" x14ac:dyDescent="0.3">
      <c r="A199" s="137"/>
      <c r="B199" s="15" t="s">
        <v>609</v>
      </c>
      <c r="C199" s="16" t="s">
        <v>610</v>
      </c>
      <c r="D199" s="16">
        <v>0</v>
      </c>
      <c r="E199" s="16">
        <v>0</v>
      </c>
      <c r="F199" s="17">
        <v>615</v>
      </c>
      <c r="G199" s="47">
        <v>1000</v>
      </c>
      <c r="H199" s="18"/>
      <c r="I199" s="18"/>
      <c r="J199" s="18"/>
      <c r="K199" s="18"/>
      <c r="L199" s="18"/>
      <c r="M199" s="46">
        <f t="shared" si="2"/>
        <v>615000</v>
      </c>
      <c r="N199" s="42"/>
    </row>
    <row r="200" spans="1:14" s="10" customFormat="1" ht="20.100000000000001" customHeight="1" x14ac:dyDescent="0.3">
      <c r="A200" s="137"/>
      <c r="B200" s="15" t="s">
        <v>611</v>
      </c>
      <c r="C200" s="16" t="s">
        <v>612</v>
      </c>
      <c r="D200" s="16">
        <v>0</v>
      </c>
      <c r="E200" s="16">
        <v>0</v>
      </c>
      <c r="F200" s="17">
        <v>615</v>
      </c>
      <c r="G200" s="47">
        <v>1000</v>
      </c>
      <c r="H200" s="18"/>
      <c r="I200" s="18"/>
      <c r="J200" s="18"/>
      <c r="K200" s="18"/>
      <c r="L200" s="18"/>
      <c r="M200" s="46">
        <f t="shared" si="2"/>
        <v>615000</v>
      </c>
      <c r="N200" s="42"/>
    </row>
    <row r="201" spans="1:14" s="10" customFormat="1" ht="20.100000000000001" customHeight="1" x14ac:dyDescent="0.3">
      <c r="A201" s="137"/>
      <c r="B201" s="15" t="s">
        <v>613</v>
      </c>
      <c r="C201" s="16" t="s">
        <v>614</v>
      </c>
      <c r="D201" s="16">
        <v>0</v>
      </c>
      <c r="E201" s="16">
        <v>0</v>
      </c>
      <c r="F201" s="17">
        <v>580</v>
      </c>
      <c r="G201" s="47">
        <v>1000</v>
      </c>
      <c r="H201" s="18"/>
      <c r="I201" s="18"/>
      <c r="J201" s="18"/>
      <c r="K201" s="18"/>
      <c r="L201" s="18"/>
      <c r="M201" s="46">
        <f t="shared" si="2"/>
        <v>580000</v>
      </c>
      <c r="N201" s="42"/>
    </row>
    <row r="202" spans="1:14" s="10" customFormat="1" ht="20.100000000000001" customHeight="1" x14ac:dyDescent="0.3">
      <c r="A202" s="138" t="s">
        <v>35</v>
      </c>
      <c r="B202" s="109"/>
      <c r="C202" s="109"/>
      <c r="D202" s="109"/>
      <c r="E202" s="109"/>
      <c r="F202" s="110"/>
      <c r="G202" s="61">
        <f>SUM(G187:G201)</f>
        <v>16000</v>
      </c>
      <c r="H202" s="43"/>
      <c r="I202" s="43"/>
      <c r="J202" s="43"/>
      <c r="K202" s="43"/>
      <c r="L202" s="43"/>
      <c r="M202" s="61">
        <f>SUM(M187:M201)</f>
        <v>10219000</v>
      </c>
      <c r="N202" s="44"/>
    </row>
    <row r="203" spans="1:14" s="10" customFormat="1" ht="20.100000000000001" customHeight="1" x14ac:dyDescent="0.3">
      <c r="A203" s="111" t="s">
        <v>251</v>
      </c>
      <c r="B203" s="112"/>
      <c r="C203" s="112"/>
      <c r="D203" s="112"/>
      <c r="E203" s="112"/>
      <c r="F203" s="113"/>
      <c r="G203" s="59">
        <f>SUM(G202,G186,G163,G147,G98,G93,G81,G74,G58,G46,G28,G19)</f>
        <v>495730</v>
      </c>
      <c r="H203" s="23"/>
      <c r="I203" s="23"/>
      <c r="J203" s="23"/>
      <c r="K203" s="23"/>
      <c r="L203" s="23"/>
      <c r="M203" s="59">
        <f>SUM(M202,M186,M163,M147,M98,M93,M86,M81,M74,M58,M46,M33,M28,M19)</f>
        <v>259935090</v>
      </c>
      <c r="N203" s="24"/>
    </row>
    <row r="204" spans="1:14" s="10" customFormat="1" ht="20.100000000000001" customHeight="1" x14ac:dyDescent="0.3">
      <c r="A204" s="5"/>
      <c r="B204" s="2"/>
      <c r="C204" s="3"/>
      <c r="D204" s="3"/>
      <c r="E204" s="3"/>
      <c r="F204" s="25"/>
      <c r="G204" s="5"/>
      <c r="H204" s="9"/>
      <c r="I204" s="9"/>
      <c r="J204" s="9"/>
      <c r="K204" s="9"/>
      <c r="L204" s="9"/>
      <c r="M204" s="9"/>
      <c r="N204" s="9"/>
    </row>
    <row r="205" spans="1:14" s="10" customFormat="1" ht="20.100000000000001" customHeight="1" x14ac:dyDescent="0.3">
      <c r="A205" s="5"/>
      <c r="B205" s="2"/>
      <c r="C205" s="3"/>
      <c r="D205" s="3"/>
      <c r="E205" s="3"/>
      <c r="F205" s="25"/>
      <c r="G205" s="5"/>
      <c r="H205" s="9"/>
      <c r="I205" s="9"/>
      <c r="J205" s="9"/>
      <c r="K205" s="9"/>
      <c r="L205" s="9"/>
      <c r="M205" s="9"/>
      <c r="N205" s="9"/>
    </row>
  </sheetData>
  <mergeCells count="59">
    <mergeCell ref="A175:A178"/>
    <mergeCell ref="A2:N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A8:A18"/>
    <mergeCell ref="A19:F19"/>
    <mergeCell ref="A20:A27"/>
    <mergeCell ref="A28:F28"/>
    <mergeCell ref="A29:A32"/>
    <mergeCell ref="A33:F33"/>
    <mergeCell ref="A34:A45"/>
    <mergeCell ref="A46:F46"/>
    <mergeCell ref="A47:A57"/>
    <mergeCell ref="A58:F58"/>
    <mergeCell ref="A59:A73"/>
    <mergeCell ref="A74:F74"/>
    <mergeCell ref="A75:A80"/>
    <mergeCell ref="A81:F81"/>
    <mergeCell ref="A82:A85"/>
    <mergeCell ref="A86:F86"/>
    <mergeCell ref="A87:A92"/>
    <mergeCell ref="A93:F93"/>
    <mergeCell ref="A94:A95"/>
    <mergeCell ref="A96:A97"/>
    <mergeCell ref="A98:F98"/>
    <mergeCell ref="A99:A112"/>
    <mergeCell ref="A113:A121"/>
    <mergeCell ref="A122:A133"/>
    <mergeCell ref="A134:A140"/>
    <mergeCell ref="A142:A146"/>
    <mergeCell ref="A147:F147"/>
    <mergeCell ref="A148:A154"/>
    <mergeCell ref="A155:A160"/>
    <mergeCell ref="A161:A162"/>
    <mergeCell ref="A163:F163"/>
    <mergeCell ref="A164:A168"/>
    <mergeCell ref="A169:A170"/>
    <mergeCell ref="A171:A172"/>
    <mergeCell ref="A173:A174"/>
    <mergeCell ref="A180:A185"/>
    <mergeCell ref="A198:A201"/>
    <mergeCell ref="A202:F202"/>
    <mergeCell ref="A203:F203"/>
    <mergeCell ref="A186:F186"/>
    <mergeCell ref="A187:A188"/>
    <mergeCell ref="A189:A194"/>
    <mergeCell ref="A195:A197"/>
  </mergeCells>
  <phoneticPr fontId="9" type="noConversion"/>
  <pageMargins left="0.23622047244094491" right="0.23622047244094491" top="0.35433070866141736" bottom="0.74803149606299213" header="0.31496062992125984" footer="0.31496062992125984"/>
  <pageSetup paperSize="9" scale="74" fitToHeight="0" orientation="landscape" useFirstPageNumber="1" horizontalDpi="4294967295" verticalDpi="4294967295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P68"/>
  <sheetViews>
    <sheetView zoomScaleNormal="100" workbookViewId="0">
      <pane xSplit="8" ySplit="7" topLeftCell="I41" activePane="bottomRight" state="frozen"/>
      <selection pane="topRight"/>
      <selection pane="bottomLeft"/>
      <selection pane="bottomRight" activeCell="D1" sqref="D1:H1048576"/>
    </sheetView>
  </sheetViews>
  <sheetFormatPr defaultColWidth="9" defaultRowHeight="20.100000000000001" customHeight="1" x14ac:dyDescent="0.3"/>
  <cols>
    <col min="1" max="1" width="10.625" style="1" customWidth="1"/>
    <col min="2" max="2" width="10.625" style="2" customWidth="1"/>
    <col min="3" max="3" width="40.625" style="3" customWidth="1"/>
    <col min="4" max="7" width="10.625" style="3" hidden="1" customWidth="1"/>
    <col min="8" max="8" width="10.625" style="4" hidden="1" customWidth="1"/>
    <col min="9" max="9" width="10.625" style="5" customWidth="1"/>
    <col min="10" max="15" width="10.625" style="6" customWidth="1"/>
    <col min="16" max="16" width="40.625" style="6" customWidth="1"/>
    <col min="17" max="227" width="9" style="7" customWidth="1"/>
    <col min="228" max="228" width="9.625" style="7" customWidth="1"/>
    <col min="229" max="229" width="7.625" style="7" customWidth="1"/>
    <col min="230" max="230" width="18.5" style="7" customWidth="1"/>
    <col min="231" max="231" width="6.625" style="7" customWidth="1"/>
    <col min="232" max="232" width="12.25" style="7" customWidth="1"/>
    <col min="233" max="233" width="8" style="7" customWidth="1"/>
    <col min="234" max="234" width="10.625" style="7" customWidth="1"/>
    <col min="235" max="235" width="8" style="7" customWidth="1"/>
    <col min="236" max="236" width="11.375" style="7" customWidth="1"/>
    <col min="237" max="237" width="11.5" style="7" customWidth="1"/>
    <col min="238" max="238" width="8" style="7" customWidth="1"/>
    <col min="239" max="239" width="11.25" style="7" customWidth="1"/>
    <col min="240" max="240" width="8" style="7" customWidth="1"/>
    <col min="241" max="241" width="10.875" style="7" customWidth="1"/>
    <col min="242" max="242" width="12.25" style="7" customWidth="1"/>
    <col min="243" max="243" width="8" style="7" customWidth="1"/>
    <col min="244" max="244" width="11.875" style="7" customWidth="1"/>
    <col min="245" max="245" width="8" style="7" customWidth="1"/>
    <col min="246" max="246" width="11" style="7" customWidth="1"/>
    <col min="247" max="247" width="12.25" style="7" customWidth="1"/>
    <col min="248" max="248" width="8" style="7" customWidth="1"/>
    <col min="249" max="249" width="11.875" style="7" customWidth="1"/>
    <col min="250" max="250" width="8" style="7" customWidth="1"/>
    <col min="251" max="251" width="12.25" style="7" customWidth="1"/>
    <col min="252" max="252" width="14.25" style="7" customWidth="1"/>
    <col min="253" max="253" width="8" style="7" customWidth="1"/>
    <col min="254" max="254" width="14" style="7" customWidth="1"/>
    <col min="255" max="255" width="8.875" style="7" customWidth="1"/>
    <col min="256" max="256" width="15.25" style="7" customWidth="1"/>
    <col min="257" max="257" width="16.375" style="7" customWidth="1"/>
    <col min="258" max="258" width="8.875" style="7" customWidth="1"/>
    <col min="259" max="259" width="9.625" style="7" customWidth="1"/>
    <col min="260" max="260" width="8.75" style="7" customWidth="1"/>
    <col min="261" max="261" width="12.375" style="7" customWidth="1"/>
    <col min="262" max="262" width="8.75" style="7" customWidth="1"/>
    <col min="263" max="263" width="11.5" style="7" customWidth="1"/>
    <col min="264" max="264" width="6.625" style="7" customWidth="1"/>
    <col min="265" max="265" width="11.25" style="7" customWidth="1"/>
    <col min="266" max="483" width="9" style="7" customWidth="1"/>
    <col min="484" max="484" width="9.625" style="7" customWidth="1"/>
    <col min="485" max="485" width="7.625" style="7" customWidth="1"/>
    <col min="486" max="486" width="18.5" style="7" customWidth="1"/>
    <col min="487" max="487" width="6.625" style="7" customWidth="1"/>
    <col min="488" max="488" width="12.25" style="7" customWidth="1"/>
    <col min="489" max="489" width="8" style="7" customWidth="1"/>
    <col min="490" max="490" width="10.625" style="7" customWidth="1"/>
    <col min="491" max="491" width="8" style="7" customWidth="1"/>
    <col min="492" max="492" width="11.375" style="7" customWidth="1"/>
    <col min="493" max="493" width="11.5" style="7" customWidth="1"/>
    <col min="494" max="494" width="8" style="7" customWidth="1"/>
    <col min="495" max="495" width="11.25" style="7" customWidth="1"/>
    <col min="496" max="496" width="8" style="7" customWidth="1"/>
    <col min="497" max="497" width="10.875" style="7" customWidth="1"/>
    <col min="498" max="498" width="12.25" style="7" customWidth="1"/>
    <col min="499" max="499" width="8" style="7" customWidth="1"/>
    <col min="500" max="500" width="11.875" style="7" customWidth="1"/>
    <col min="501" max="501" width="8" style="7" customWidth="1"/>
    <col min="502" max="502" width="11" style="7" customWidth="1"/>
    <col min="503" max="503" width="12.25" style="7" customWidth="1"/>
    <col min="504" max="504" width="8" style="7" customWidth="1"/>
    <col min="505" max="505" width="11.875" style="7" customWidth="1"/>
    <col min="506" max="506" width="8" style="7" customWidth="1"/>
    <col min="507" max="507" width="12.25" style="7" customWidth="1"/>
    <col min="508" max="508" width="14.25" style="7" customWidth="1"/>
    <col min="509" max="509" width="8" style="7" customWidth="1"/>
    <col min="510" max="510" width="14" style="7" customWidth="1"/>
    <col min="511" max="511" width="8.875" style="7" customWidth="1"/>
    <col min="512" max="512" width="15.25" style="7" customWidth="1"/>
    <col min="513" max="513" width="16.375" style="7" customWidth="1"/>
    <col min="514" max="514" width="8.875" style="7" customWidth="1"/>
    <col min="515" max="515" width="9.625" style="7" customWidth="1"/>
    <col min="516" max="516" width="8.75" style="7" customWidth="1"/>
    <col min="517" max="517" width="12.375" style="7" customWidth="1"/>
    <col min="518" max="518" width="8.75" style="7" customWidth="1"/>
    <col min="519" max="519" width="11.5" style="7" customWidth="1"/>
    <col min="520" max="520" width="6.625" style="7" customWidth="1"/>
    <col min="521" max="521" width="11.25" style="7" customWidth="1"/>
    <col min="522" max="739" width="9" style="7" customWidth="1"/>
    <col min="740" max="740" width="9.625" style="7" customWidth="1"/>
    <col min="741" max="741" width="7.625" style="7" customWidth="1"/>
    <col min="742" max="742" width="18.5" style="7" customWidth="1"/>
    <col min="743" max="743" width="6.625" style="7" customWidth="1"/>
    <col min="744" max="744" width="12.25" style="7" customWidth="1"/>
    <col min="745" max="745" width="8" style="7" customWidth="1"/>
    <col min="746" max="746" width="10.625" style="7" customWidth="1"/>
    <col min="747" max="747" width="8" style="7" customWidth="1"/>
    <col min="748" max="748" width="11.375" style="7" customWidth="1"/>
    <col min="749" max="749" width="11.5" style="7" customWidth="1"/>
    <col min="750" max="750" width="8" style="7" customWidth="1"/>
    <col min="751" max="751" width="11.25" style="7" customWidth="1"/>
    <col min="752" max="752" width="8" style="7" customWidth="1"/>
    <col min="753" max="753" width="10.875" style="7" customWidth="1"/>
    <col min="754" max="754" width="12.25" style="7" customWidth="1"/>
    <col min="755" max="755" width="8" style="7" customWidth="1"/>
    <col min="756" max="756" width="11.875" style="7" customWidth="1"/>
    <col min="757" max="757" width="8" style="7" customWidth="1"/>
    <col min="758" max="758" width="11" style="7" customWidth="1"/>
    <col min="759" max="759" width="12.25" style="7" customWidth="1"/>
    <col min="760" max="760" width="8" style="7" customWidth="1"/>
    <col min="761" max="761" width="11.875" style="7" customWidth="1"/>
    <col min="762" max="762" width="8" style="7" customWidth="1"/>
    <col min="763" max="763" width="12.25" style="7" customWidth="1"/>
    <col min="764" max="764" width="14.25" style="7" customWidth="1"/>
    <col min="765" max="765" width="8" style="7" customWidth="1"/>
    <col min="766" max="766" width="14" style="7" customWidth="1"/>
    <col min="767" max="767" width="8.875" style="7" customWidth="1"/>
    <col min="768" max="768" width="15.25" style="7" customWidth="1"/>
    <col min="769" max="769" width="16.375" style="7" customWidth="1"/>
    <col min="770" max="770" width="8.875" style="7" customWidth="1"/>
    <col min="771" max="771" width="9.625" style="7" customWidth="1"/>
    <col min="772" max="772" width="8.75" style="7" customWidth="1"/>
    <col min="773" max="773" width="12.375" style="7" customWidth="1"/>
    <col min="774" max="774" width="8.75" style="7" customWidth="1"/>
    <col min="775" max="775" width="11.5" style="7" customWidth="1"/>
    <col min="776" max="776" width="6.625" style="7" customWidth="1"/>
    <col min="777" max="777" width="11.25" style="7" customWidth="1"/>
    <col min="778" max="995" width="9" style="7" customWidth="1"/>
    <col min="996" max="996" width="9.625" style="7" customWidth="1"/>
    <col min="997" max="997" width="7.625" style="7" customWidth="1"/>
    <col min="998" max="998" width="18.5" style="7" customWidth="1"/>
    <col min="999" max="999" width="6.625" style="7" customWidth="1"/>
    <col min="1000" max="1000" width="12.25" style="7" customWidth="1"/>
    <col min="1001" max="1001" width="8" style="7" customWidth="1"/>
    <col min="1002" max="1002" width="10.625" style="7" customWidth="1"/>
    <col min="1003" max="1003" width="8" style="7" customWidth="1"/>
    <col min="1004" max="1004" width="11.375" style="7" customWidth="1"/>
    <col min="1005" max="1005" width="11.5" style="7" customWidth="1"/>
    <col min="1006" max="1006" width="8" style="7" customWidth="1"/>
    <col min="1007" max="1007" width="11.25" style="7" customWidth="1"/>
    <col min="1008" max="1008" width="8" style="7" customWidth="1"/>
    <col min="1009" max="1009" width="10.875" style="7" customWidth="1"/>
    <col min="1010" max="1010" width="12.25" style="7" customWidth="1"/>
    <col min="1011" max="1011" width="8" style="7" customWidth="1"/>
    <col min="1012" max="1012" width="11.875" style="7" customWidth="1"/>
    <col min="1013" max="1013" width="8" style="7" customWidth="1"/>
    <col min="1014" max="1014" width="11" style="7" customWidth="1"/>
    <col min="1015" max="1015" width="12.25" style="7" customWidth="1"/>
    <col min="1016" max="1016" width="8" style="7" customWidth="1"/>
    <col min="1017" max="1017" width="11.875" style="7" customWidth="1"/>
    <col min="1018" max="1018" width="8" style="7" customWidth="1"/>
    <col min="1019" max="1019" width="12.25" style="7" customWidth="1"/>
    <col min="1020" max="1020" width="14.25" style="7" customWidth="1"/>
    <col min="1021" max="1021" width="8" style="7" customWidth="1"/>
    <col min="1022" max="1022" width="14" style="7" customWidth="1"/>
    <col min="1023" max="1023" width="8.875" style="7" customWidth="1"/>
    <col min="1024" max="1024" width="15.25" style="7" customWidth="1"/>
    <col min="1025" max="1025" width="16.375" style="7" customWidth="1"/>
    <col min="1026" max="1026" width="8.875" style="7" customWidth="1"/>
    <col min="1027" max="1027" width="9.625" style="7" customWidth="1"/>
    <col min="1028" max="1028" width="8.75" style="7" customWidth="1"/>
    <col min="1029" max="1029" width="12.375" style="7" customWidth="1"/>
    <col min="1030" max="1030" width="8.75" style="7" customWidth="1"/>
    <col min="1031" max="1031" width="11.5" style="7" customWidth="1"/>
    <col min="1032" max="1032" width="6.625" style="7" customWidth="1"/>
    <col min="1033" max="1033" width="11.25" style="7" customWidth="1"/>
    <col min="1034" max="1251" width="9" style="7" customWidth="1"/>
    <col min="1252" max="1252" width="9.625" style="7" customWidth="1"/>
    <col min="1253" max="1253" width="7.625" style="7" customWidth="1"/>
    <col min="1254" max="1254" width="18.5" style="7" customWidth="1"/>
    <col min="1255" max="1255" width="6.625" style="7" customWidth="1"/>
    <col min="1256" max="1256" width="12.25" style="7" customWidth="1"/>
    <col min="1257" max="1257" width="8" style="7" customWidth="1"/>
    <col min="1258" max="1258" width="10.625" style="7" customWidth="1"/>
    <col min="1259" max="1259" width="8" style="7" customWidth="1"/>
    <col min="1260" max="1260" width="11.375" style="7" customWidth="1"/>
    <col min="1261" max="1261" width="11.5" style="7" customWidth="1"/>
    <col min="1262" max="1262" width="8" style="7" customWidth="1"/>
    <col min="1263" max="1263" width="11.25" style="7" customWidth="1"/>
    <col min="1264" max="1264" width="8" style="7" customWidth="1"/>
    <col min="1265" max="1265" width="10.875" style="7" customWidth="1"/>
    <col min="1266" max="1266" width="12.25" style="7" customWidth="1"/>
    <col min="1267" max="1267" width="8" style="7" customWidth="1"/>
    <col min="1268" max="1268" width="11.875" style="7" customWidth="1"/>
    <col min="1269" max="1269" width="8" style="7" customWidth="1"/>
    <col min="1270" max="1270" width="11" style="7" customWidth="1"/>
    <col min="1271" max="1271" width="12.25" style="7" customWidth="1"/>
    <col min="1272" max="1272" width="8" style="7" customWidth="1"/>
    <col min="1273" max="1273" width="11.875" style="7" customWidth="1"/>
    <col min="1274" max="1274" width="8" style="7" customWidth="1"/>
    <col min="1275" max="1275" width="12.25" style="7" customWidth="1"/>
    <col min="1276" max="1276" width="14.25" style="7" customWidth="1"/>
    <col min="1277" max="1277" width="8" style="7" customWidth="1"/>
    <col min="1278" max="1278" width="14" style="7" customWidth="1"/>
    <col min="1279" max="1279" width="8.875" style="7" customWidth="1"/>
    <col min="1280" max="1280" width="15.25" style="7" customWidth="1"/>
    <col min="1281" max="1281" width="16.375" style="7" customWidth="1"/>
    <col min="1282" max="1282" width="8.875" style="7" customWidth="1"/>
    <col min="1283" max="1283" width="9.625" style="7" customWidth="1"/>
    <col min="1284" max="1284" width="8.75" style="7" customWidth="1"/>
    <col min="1285" max="1285" width="12.375" style="7" customWidth="1"/>
    <col min="1286" max="1286" width="8.75" style="7" customWidth="1"/>
    <col min="1287" max="1287" width="11.5" style="7" customWidth="1"/>
    <col min="1288" max="1288" width="6.625" style="7" customWidth="1"/>
    <col min="1289" max="1289" width="11.25" style="7" customWidth="1"/>
    <col min="1290" max="1507" width="9" style="7" customWidth="1"/>
    <col min="1508" max="1508" width="9.625" style="7" customWidth="1"/>
    <col min="1509" max="1509" width="7.625" style="7" customWidth="1"/>
    <col min="1510" max="1510" width="18.5" style="7" customWidth="1"/>
    <col min="1511" max="1511" width="6.625" style="7" customWidth="1"/>
    <col min="1512" max="1512" width="12.25" style="7" customWidth="1"/>
    <col min="1513" max="1513" width="8" style="7" customWidth="1"/>
    <col min="1514" max="1514" width="10.625" style="7" customWidth="1"/>
    <col min="1515" max="1515" width="8" style="7" customWidth="1"/>
    <col min="1516" max="1516" width="11.375" style="7" customWidth="1"/>
    <col min="1517" max="1517" width="11.5" style="7" customWidth="1"/>
    <col min="1518" max="1518" width="8" style="7" customWidth="1"/>
    <col min="1519" max="1519" width="11.25" style="7" customWidth="1"/>
    <col min="1520" max="1520" width="8" style="7" customWidth="1"/>
    <col min="1521" max="1521" width="10.875" style="7" customWidth="1"/>
    <col min="1522" max="1522" width="12.25" style="7" customWidth="1"/>
    <col min="1523" max="1523" width="8" style="7" customWidth="1"/>
    <col min="1524" max="1524" width="11.875" style="7" customWidth="1"/>
    <col min="1525" max="1525" width="8" style="7" customWidth="1"/>
    <col min="1526" max="1526" width="11" style="7" customWidth="1"/>
    <col min="1527" max="1527" width="12.25" style="7" customWidth="1"/>
    <col min="1528" max="1528" width="8" style="7" customWidth="1"/>
    <col min="1529" max="1529" width="11.875" style="7" customWidth="1"/>
    <col min="1530" max="1530" width="8" style="7" customWidth="1"/>
    <col min="1531" max="1531" width="12.25" style="7" customWidth="1"/>
    <col min="1532" max="1532" width="14.25" style="7" customWidth="1"/>
    <col min="1533" max="1533" width="8" style="7" customWidth="1"/>
    <col min="1534" max="1534" width="14" style="7" customWidth="1"/>
    <col min="1535" max="1535" width="8.875" style="7" customWidth="1"/>
    <col min="1536" max="1536" width="15.25" style="7" customWidth="1"/>
    <col min="1537" max="1537" width="16.375" style="7" customWidth="1"/>
    <col min="1538" max="1538" width="8.875" style="7" customWidth="1"/>
    <col min="1539" max="1539" width="9.625" style="7" customWidth="1"/>
    <col min="1540" max="1540" width="8.75" style="7" customWidth="1"/>
    <col min="1541" max="1541" width="12.375" style="7" customWidth="1"/>
    <col min="1542" max="1542" width="8.75" style="7" customWidth="1"/>
    <col min="1543" max="1543" width="11.5" style="7" customWidth="1"/>
    <col min="1544" max="1544" width="6.625" style="7" customWidth="1"/>
    <col min="1545" max="1545" width="11.25" style="7" customWidth="1"/>
    <col min="1546" max="1763" width="9" style="7" customWidth="1"/>
    <col min="1764" max="1764" width="9.625" style="7" customWidth="1"/>
    <col min="1765" max="1765" width="7.625" style="7" customWidth="1"/>
    <col min="1766" max="1766" width="18.5" style="7" customWidth="1"/>
    <col min="1767" max="1767" width="6.625" style="7" customWidth="1"/>
    <col min="1768" max="1768" width="12.25" style="7" customWidth="1"/>
    <col min="1769" max="1769" width="8" style="7" customWidth="1"/>
    <col min="1770" max="1770" width="10.625" style="7" customWidth="1"/>
    <col min="1771" max="1771" width="8" style="7" customWidth="1"/>
    <col min="1772" max="1772" width="11.375" style="7" customWidth="1"/>
    <col min="1773" max="1773" width="11.5" style="7" customWidth="1"/>
    <col min="1774" max="1774" width="8" style="7" customWidth="1"/>
    <col min="1775" max="1775" width="11.25" style="7" customWidth="1"/>
    <col min="1776" max="1776" width="8" style="7" customWidth="1"/>
    <col min="1777" max="1777" width="10.875" style="7" customWidth="1"/>
    <col min="1778" max="1778" width="12.25" style="7" customWidth="1"/>
    <col min="1779" max="1779" width="8" style="7" customWidth="1"/>
    <col min="1780" max="1780" width="11.875" style="7" customWidth="1"/>
    <col min="1781" max="1781" width="8" style="7" customWidth="1"/>
    <col min="1782" max="1782" width="11" style="7" customWidth="1"/>
    <col min="1783" max="1783" width="12.25" style="7" customWidth="1"/>
    <col min="1784" max="1784" width="8" style="7" customWidth="1"/>
    <col min="1785" max="1785" width="11.875" style="7" customWidth="1"/>
    <col min="1786" max="1786" width="8" style="7" customWidth="1"/>
    <col min="1787" max="1787" width="12.25" style="7" customWidth="1"/>
    <col min="1788" max="1788" width="14.25" style="7" customWidth="1"/>
    <col min="1789" max="1789" width="8" style="7" customWidth="1"/>
    <col min="1790" max="1790" width="14" style="7" customWidth="1"/>
    <col min="1791" max="1791" width="8.875" style="7" customWidth="1"/>
    <col min="1792" max="1792" width="15.25" style="7" customWidth="1"/>
    <col min="1793" max="1793" width="16.375" style="7" customWidth="1"/>
    <col min="1794" max="1794" width="8.875" style="7" customWidth="1"/>
    <col min="1795" max="1795" width="9.625" style="7" customWidth="1"/>
    <col min="1796" max="1796" width="8.75" style="7" customWidth="1"/>
    <col min="1797" max="1797" width="12.375" style="7" customWidth="1"/>
    <col min="1798" max="1798" width="8.75" style="7" customWidth="1"/>
    <col min="1799" max="1799" width="11.5" style="7" customWidth="1"/>
    <col min="1800" max="1800" width="6.625" style="7" customWidth="1"/>
    <col min="1801" max="1801" width="11.25" style="7" customWidth="1"/>
    <col min="1802" max="2019" width="9" style="7" customWidth="1"/>
    <col min="2020" max="2020" width="9.625" style="7" customWidth="1"/>
    <col min="2021" max="2021" width="7.625" style="7" customWidth="1"/>
    <col min="2022" max="2022" width="18.5" style="7" customWidth="1"/>
    <col min="2023" max="2023" width="6.625" style="7" customWidth="1"/>
    <col min="2024" max="2024" width="12.25" style="7" customWidth="1"/>
    <col min="2025" max="2025" width="8" style="7" customWidth="1"/>
    <col min="2026" max="2026" width="10.625" style="7" customWidth="1"/>
    <col min="2027" max="2027" width="8" style="7" customWidth="1"/>
    <col min="2028" max="2028" width="11.375" style="7" customWidth="1"/>
    <col min="2029" max="2029" width="11.5" style="7" customWidth="1"/>
    <col min="2030" max="2030" width="8" style="7" customWidth="1"/>
    <col min="2031" max="2031" width="11.25" style="7" customWidth="1"/>
    <col min="2032" max="2032" width="8" style="7" customWidth="1"/>
    <col min="2033" max="2033" width="10.875" style="7" customWidth="1"/>
    <col min="2034" max="2034" width="12.25" style="7" customWidth="1"/>
    <col min="2035" max="2035" width="8" style="7" customWidth="1"/>
    <col min="2036" max="2036" width="11.875" style="7" customWidth="1"/>
    <col min="2037" max="2037" width="8" style="7" customWidth="1"/>
    <col min="2038" max="2038" width="11" style="7" customWidth="1"/>
    <col min="2039" max="2039" width="12.25" style="7" customWidth="1"/>
    <col min="2040" max="2040" width="8" style="7" customWidth="1"/>
    <col min="2041" max="2041" width="11.875" style="7" customWidth="1"/>
    <col min="2042" max="2042" width="8" style="7" customWidth="1"/>
    <col min="2043" max="2043" width="12.25" style="7" customWidth="1"/>
    <col min="2044" max="2044" width="14.25" style="7" customWidth="1"/>
    <col min="2045" max="2045" width="8" style="7" customWidth="1"/>
    <col min="2046" max="2046" width="14" style="7" customWidth="1"/>
    <col min="2047" max="2047" width="8.875" style="7" customWidth="1"/>
    <col min="2048" max="2048" width="15.25" style="7" customWidth="1"/>
    <col min="2049" max="2049" width="16.375" style="7" customWidth="1"/>
    <col min="2050" max="2050" width="8.875" style="7" customWidth="1"/>
    <col min="2051" max="2051" width="9.625" style="7" customWidth="1"/>
    <col min="2052" max="2052" width="8.75" style="7" customWidth="1"/>
    <col min="2053" max="2053" width="12.375" style="7" customWidth="1"/>
    <col min="2054" max="2054" width="8.75" style="7" customWidth="1"/>
    <col min="2055" max="2055" width="11.5" style="7" customWidth="1"/>
    <col min="2056" max="2056" width="6.625" style="7" customWidth="1"/>
    <col min="2057" max="2057" width="11.25" style="7" customWidth="1"/>
    <col min="2058" max="2275" width="9" style="7" customWidth="1"/>
    <col min="2276" max="2276" width="9.625" style="7" customWidth="1"/>
    <col min="2277" max="2277" width="7.625" style="7" customWidth="1"/>
    <col min="2278" max="2278" width="18.5" style="7" customWidth="1"/>
    <col min="2279" max="2279" width="6.625" style="7" customWidth="1"/>
    <col min="2280" max="2280" width="12.25" style="7" customWidth="1"/>
    <col min="2281" max="2281" width="8" style="7" customWidth="1"/>
    <col min="2282" max="2282" width="10.625" style="7" customWidth="1"/>
    <col min="2283" max="2283" width="8" style="7" customWidth="1"/>
    <col min="2284" max="2284" width="11.375" style="7" customWidth="1"/>
    <col min="2285" max="2285" width="11.5" style="7" customWidth="1"/>
    <col min="2286" max="2286" width="8" style="7" customWidth="1"/>
    <col min="2287" max="2287" width="11.25" style="7" customWidth="1"/>
    <col min="2288" max="2288" width="8" style="7" customWidth="1"/>
    <col min="2289" max="2289" width="10.875" style="7" customWidth="1"/>
    <col min="2290" max="2290" width="12.25" style="7" customWidth="1"/>
    <col min="2291" max="2291" width="8" style="7" customWidth="1"/>
    <col min="2292" max="2292" width="11.875" style="7" customWidth="1"/>
    <col min="2293" max="2293" width="8" style="7" customWidth="1"/>
    <col min="2294" max="2294" width="11" style="7" customWidth="1"/>
    <col min="2295" max="2295" width="12.25" style="7" customWidth="1"/>
    <col min="2296" max="2296" width="8" style="7" customWidth="1"/>
    <col min="2297" max="2297" width="11.875" style="7" customWidth="1"/>
    <col min="2298" max="2298" width="8" style="7" customWidth="1"/>
    <col min="2299" max="2299" width="12.25" style="7" customWidth="1"/>
    <col min="2300" max="2300" width="14.25" style="7" customWidth="1"/>
    <col min="2301" max="2301" width="8" style="7" customWidth="1"/>
    <col min="2302" max="2302" width="14" style="7" customWidth="1"/>
    <col min="2303" max="2303" width="8.875" style="7" customWidth="1"/>
    <col min="2304" max="2304" width="15.25" style="7" customWidth="1"/>
    <col min="2305" max="2305" width="16.375" style="7" customWidth="1"/>
    <col min="2306" max="2306" width="8.875" style="7" customWidth="1"/>
    <col min="2307" max="2307" width="9.625" style="7" customWidth="1"/>
    <col min="2308" max="2308" width="8.75" style="7" customWidth="1"/>
    <col min="2309" max="2309" width="12.375" style="7" customWidth="1"/>
    <col min="2310" max="2310" width="8.75" style="7" customWidth="1"/>
    <col min="2311" max="2311" width="11.5" style="7" customWidth="1"/>
    <col min="2312" max="2312" width="6.625" style="7" customWidth="1"/>
    <col min="2313" max="2313" width="11.25" style="7" customWidth="1"/>
    <col min="2314" max="2531" width="9" style="7" customWidth="1"/>
    <col min="2532" max="2532" width="9.625" style="7" customWidth="1"/>
    <col min="2533" max="2533" width="7.625" style="7" customWidth="1"/>
    <col min="2534" max="2534" width="18.5" style="7" customWidth="1"/>
    <col min="2535" max="2535" width="6.625" style="7" customWidth="1"/>
    <col min="2536" max="2536" width="12.25" style="7" customWidth="1"/>
    <col min="2537" max="2537" width="8" style="7" customWidth="1"/>
    <col min="2538" max="2538" width="10.625" style="7" customWidth="1"/>
    <col min="2539" max="2539" width="8" style="7" customWidth="1"/>
    <col min="2540" max="2540" width="11.375" style="7" customWidth="1"/>
    <col min="2541" max="2541" width="11.5" style="7" customWidth="1"/>
    <col min="2542" max="2542" width="8" style="7" customWidth="1"/>
    <col min="2543" max="2543" width="11.25" style="7" customWidth="1"/>
    <col min="2544" max="2544" width="8" style="7" customWidth="1"/>
    <col min="2545" max="2545" width="10.875" style="7" customWidth="1"/>
    <col min="2546" max="2546" width="12.25" style="7" customWidth="1"/>
    <col min="2547" max="2547" width="8" style="7" customWidth="1"/>
    <col min="2548" max="2548" width="11.875" style="7" customWidth="1"/>
    <col min="2549" max="2549" width="8" style="7" customWidth="1"/>
    <col min="2550" max="2550" width="11" style="7" customWidth="1"/>
    <col min="2551" max="2551" width="12.25" style="7" customWidth="1"/>
    <col min="2552" max="2552" width="8" style="7" customWidth="1"/>
    <col min="2553" max="2553" width="11.875" style="7" customWidth="1"/>
    <col min="2554" max="2554" width="8" style="7" customWidth="1"/>
    <col min="2555" max="2555" width="12.25" style="7" customWidth="1"/>
    <col min="2556" max="2556" width="14.25" style="7" customWidth="1"/>
    <col min="2557" max="2557" width="8" style="7" customWidth="1"/>
    <col min="2558" max="2558" width="14" style="7" customWidth="1"/>
    <col min="2559" max="2559" width="8.875" style="7" customWidth="1"/>
    <col min="2560" max="2560" width="15.25" style="7" customWidth="1"/>
    <col min="2561" max="2561" width="16.375" style="7" customWidth="1"/>
    <col min="2562" max="2562" width="8.875" style="7" customWidth="1"/>
    <col min="2563" max="2563" width="9.625" style="7" customWidth="1"/>
    <col min="2564" max="2564" width="8.75" style="7" customWidth="1"/>
    <col min="2565" max="2565" width="12.375" style="7" customWidth="1"/>
    <col min="2566" max="2566" width="8.75" style="7" customWidth="1"/>
    <col min="2567" max="2567" width="11.5" style="7" customWidth="1"/>
    <col min="2568" max="2568" width="6.625" style="7" customWidth="1"/>
    <col min="2569" max="2569" width="11.25" style="7" customWidth="1"/>
    <col min="2570" max="2787" width="9" style="7" customWidth="1"/>
    <col min="2788" max="2788" width="9.625" style="7" customWidth="1"/>
    <col min="2789" max="2789" width="7.625" style="7" customWidth="1"/>
    <col min="2790" max="2790" width="18.5" style="7" customWidth="1"/>
    <col min="2791" max="2791" width="6.625" style="7" customWidth="1"/>
    <col min="2792" max="2792" width="12.25" style="7" customWidth="1"/>
    <col min="2793" max="2793" width="8" style="7" customWidth="1"/>
    <col min="2794" max="2794" width="10.625" style="7" customWidth="1"/>
    <col min="2795" max="2795" width="8" style="7" customWidth="1"/>
    <col min="2796" max="2796" width="11.375" style="7" customWidth="1"/>
    <col min="2797" max="2797" width="11.5" style="7" customWidth="1"/>
    <col min="2798" max="2798" width="8" style="7" customWidth="1"/>
    <col min="2799" max="2799" width="11.25" style="7" customWidth="1"/>
    <col min="2800" max="2800" width="8" style="7" customWidth="1"/>
    <col min="2801" max="2801" width="10.875" style="7" customWidth="1"/>
    <col min="2802" max="2802" width="12.25" style="7" customWidth="1"/>
    <col min="2803" max="2803" width="8" style="7" customWidth="1"/>
    <col min="2804" max="2804" width="11.875" style="7" customWidth="1"/>
    <col min="2805" max="2805" width="8" style="7" customWidth="1"/>
    <col min="2806" max="2806" width="11" style="7" customWidth="1"/>
    <col min="2807" max="2807" width="12.25" style="7" customWidth="1"/>
    <col min="2808" max="2808" width="8" style="7" customWidth="1"/>
    <col min="2809" max="2809" width="11.875" style="7" customWidth="1"/>
    <col min="2810" max="2810" width="8" style="7" customWidth="1"/>
    <col min="2811" max="2811" width="12.25" style="7" customWidth="1"/>
    <col min="2812" max="2812" width="14.25" style="7" customWidth="1"/>
    <col min="2813" max="2813" width="8" style="7" customWidth="1"/>
    <col min="2814" max="2814" width="14" style="7" customWidth="1"/>
    <col min="2815" max="2815" width="8.875" style="7" customWidth="1"/>
    <col min="2816" max="2816" width="15.25" style="7" customWidth="1"/>
    <col min="2817" max="2817" width="16.375" style="7" customWidth="1"/>
    <col min="2818" max="2818" width="8.875" style="7" customWidth="1"/>
    <col min="2819" max="2819" width="9.625" style="7" customWidth="1"/>
    <col min="2820" max="2820" width="8.75" style="7" customWidth="1"/>
    <col min="2821" max="2821" width="12.375" style="7" customWidth="1"/>
    <col min="2822" max="2822" width="8.75" style="7" customWidth="1"/>
    <col min="2823" max="2823" width="11.5" style="7" customWidth="1"/>
    <col min="2824" max="2824" width="6.625" style="7" customWidth="1"/>
    <col min="2825" max="2825" width="11.25" style="7" customWidth="1"/>
    <col min="2826" max="3043" width="9" style="7" customWidth="1"/>
    <col min="3044" max="3044" width="9.625" style="7" customWidth="1"/>
    <col min="3045" max="3045" width="7.625" style="7" customWidth="1"/>
    <col min="3046" max="3046" width="18.5" style="7" customWidth="1"/>
    <col min="3047" max="3047" width="6.625" style="7" customWidth="1"/>
    <col min="3048" max="3048" width="12.25" style="7" customWidth="1"/>
    <col min="3049" max="3049" width="8" style="7" customWidth="1"/>
    <col min="3050" max="3050" width="10.625" style="7" customWidth="1"/>
    <col min="3051" max="3051" width="8" style="7" customWidth="1"/>
    <col min="3052" max="3052" width="11.375" style="7" customWidth="1"/>
    <col min="3053" max="3053" width="11.5" style="7" customWidth="1"/>
    <col min="3054" max="3054" width="8" style="7" customWidth="1"/>
    <col min="3055" max="3055" width="11.25" style="7" customWidth="1"/>
    <col min="3056" max="3056" width="8" style="7" customWidth="1"/>
    <col min="3057" max="3057" width="10.875" style="7" customWidth="1"/>
    <col min="3058" max="3058" width="12.25" style="7" customWidth="1"/>
    <col min="3059" max="3059" width="8" style="7" customWidth="1"/>
    <col min="3060" max="3060" width="11.875" style="7" customWidth="1"/>
    <col min="3061" max="3061" width="8" style="7" customWidth="1"/>
    <col min="3062" max="3062" width="11" style="7" customWidth="1"/>
    <col min="3063" max="3063" width="12.25" style="7" customWidth="1"/>
    <col min="3064" max="3064" width="8" style="7" customWidth="1"/>
    <col min="3065" max="3065" width="11.875" style="7" customWidth="1"/>
    <col min="3066" max="3066" width="8" style="7" customWidth="1"/>
    <col min="3067" max="3067" width="12.25" style="7" customWidth="1"/>
    <col min="3068" max="3068" width="14.25" style="7" customWidth="1"/>
    <col min="3069" max="3069" width="8" style="7" customWidth="1"/>
    <col min="3070" max="3070" width="14" style="7" customWidth="1"/>
    <col min="3071" max="3071" width="8.875" style="7" customWidth="1"/>
    <col min="3072" max="3072" width="15.25" style="7" customWidth="1"/>
    <col min="3073" max="3073" width="16.375" style="7" customWidth="1"/>
    <col min="3074" max="3074" width="8.875" style="7" customWidth="1"/>
    <col min="3075" max="3075" width="9.625" style="7" customWidth="1"/>
    <col min="3076" max="3076" width="8.75" style="7" customWidth="1"/>
    <col min="3077" max="3077" width="12.375" style="7" customWidth="1"/>
    <col min="3078" max="3078" width="8.75" style="7" customWidth="1"/>
    <col min="3079" max="3079" width="11.5" style="7" customWidth="1"/>
    <col min="3080" max="3080" width="6.625" style="7" customWidth="1"/>
    <col min="3081" max="3081" width="11.25" style="7" customWidth="1"/>
    <col min="3082" max="3299" width="9" style="7" customWidth="1"/>
    <col min="3300" max="3300" width="9.625" style="7" customWidth="1"/>
    <col min="3301" max="3301" width="7.625" style="7" customWidth="1"/>
    <col min="3302" max="3302" width="18.5" style="7" customWidth="1"/>
    <col min="3303" max="3303" width="6.625" style="7" customWidth="1"/>
    <col min="3304" max="3304" width="12.25" style="7" customWidth="1"/>
    <col min="3305" max="3305" width="8" style="7" customWidth="1"/>
    <col min="3306" max="3306" width="10.625" style="7" customWidth="1"/>
    <col min="3307" max="3307" width="8" style="7" customWidth="1"/>
    <col min="3308" max="3308" width="11.375" style="7" customWidth="1"/>
    <col min="3309" max="3309" width="11.5" style="7" customWidth="1"/>
    <col min="3310" max="3310" width="8" style="7" customWidth="1"/>
    <col min="3311" max="3311" width="11.25" style="7" customWidth="1"/>
    <col min="3312" max="3312" width="8" style="7" customWidth="1"/>
    <col min="3313" max="3313" width="10.875" style="7" customWidth="1"/>
    <col min="3314" max="3314" width="12.25" style="7" customWidth="1"/>
    <col min="3315" max="3315" width="8" style="7" customWidth="1"/>
    <col min="3316" max="3316" width="11.875" style="7" customWidth="1"/>
    <col min="3317" max="3317" width="8" style="7" customWidth="1"/>
    <col min="3318" max="3318" width="11" style="7" customWidth="1"/>
    <col min="3319" max="3319" width="12.25" style="7" customWidth="1"/>
    <col min="3320" max="3320" width="8" style="7" customWidth="1"/>
    <col min="3321" max="3321" width="11.875" style="7" customWidth="1"/>
    <col min="3322" max="3322" width="8" style="7" customWidth="1"/>
    <col min="3323" max="3323" width="12.25" style="7" customWidth="1"/>
    <col min="3324" max="3324" width="14.25" style="7" customWidth="1"/>
    <col min="3325" max="3325" width="8" style="7" customWidth="1"/>
    <col min="3326" max="3326" width="14" style="7" customWidth="1"/>
    <col min="3327" max="3327" width="8.875" style="7" customWidth="1"/>
    <col min="3328" max="3328" width="15.25" style="7" customWidth="1"/>
    <col min="3329" max="3329" width="16.375" style="7" customWidth="1"/>
    <col min="3330" max="3330" width="8.875" style="7" customWidth="1"/>
    <col min="3331" max="3331" width="9.625" style="7" customWidth="1"/>
    <col min="3332" max="3332" width="8.75" style="7" customWidth="1"/>
    <col min="3333" max="3333" width="12.375" style="7" customWidth="1"/>
    <col min="3334" max="3334" width="8.75" style="7" customWidth="1"/>
    <col min="3335" max="3335" width="11.5" style="7" customWidth="1"/>
    <col min="3336" max="3336" width="6.625" style="7" customWidth="1"/>
    <col min="3337" max="3337" width="11.25" style="7" customWidth="1"/>
    <col min="3338" max="3555" width="9" style="7" customWidth="1"/>
    <col min="3556" max="3556" width="9.625" style="7" customWidth="1"/>
    <col min="3557" max="3557" width="7.625" style="7" customWidth="1"/>
    <col min="3558" max="3558" width="18.5" style="7" customWidth="1"/>
    <col min="3559" max="3559" width="6.625" style="7" customWidth="1"/>
    <col min="3560" max="3560" width="12.25" style="7" customWidth="1"/>
    <col min="3561" max="3561" width="8" style="7" customWidth="1"/>
    <col min="3562" max="3562" width="10.625" style="7" customWidth="1"/>
    <col min="3563" max="3563" width="8" style="7" customWidth="1"/>
    <col min="3564" max="3564" width="11.375" style="7" customWidth="1"/>
    <col min="3565" max="3565" width="11.5" style="7" customWidth="1"/>
    <col min="3566" max="3566" width="8" style="7" customWidth="1"/>
    <col min="3567" max="3567" width="11.25" style="7" customWidth="1"/>
    <col min="3568" max="3568" width="8" style="7" customWidth="1"/>
    <col min="3569" max="3569" width="10.875" style="7" customWidth="1"/>
    <col min="3570" max="3570" width="12.25" style="7" customWidth="1"/>
    <col min="3571" max="3571" width="8" style="7" customWidth="1"/>
    <col min="3572" max="3572" width="11.875" style="7" customWidth="1"/>
    <col min="3573" max="3573" width="8" style="7" customWidth="1"/>
    <col min="3574" max="3574" width="11" style="7" customWidth="1"/>
    <col min="3575" max="3575" width="12.25" style="7" customWidth="1"/>
    <col min="3576" max="3576" width="8" style="7" customWidth="1"/>
    <col min="3577" max="3577" width="11.875" style="7" customWidth="1"/>
    <col min="3578" max="3578" width="8" style="7" customWidth="1"/>
    <col min="3579" max="3579" width="12.25" style="7" customWidth="1"/>
    <col min="3580" max="3580" width="14.25" style="7" customWidth="1"/>
    <col min="3581" max="3581" width="8" style="7" customWidth="1"/>
    <col min="3582" max="3582" width="14" style="7" customWidth="1"/>
    <col min="3583" max="3583" width="8.875" style="7" customWidth="1"/>
    <col min="3584" max="3584" width="15.25" style="7" customWidth="1"/>
    <col min="3585" max="3585" width="16.375" style="7" customWidth="1"/>
    <col min="3586" max="3586" width="8.875" style="7" customWidth="1"/>
    <col min="3587" max="3587" width="9.625" style="7" customWidth="1"/>
    <col min="3588" max="3588" width="8.75" style="7" customWidth="1"/>
    <col min="3589" max="3589" width="12.375" style="7" customWidth="1"/>
    <col min="3590" max="3590" width="8.75" style="7" customWidth="1"/>
    <col min="3591" max="3591" width="11.5" style="7" customWidth="1"/>
    <col min="3592" max="3592" width="6.625" style="7" customWidth="1"/>
    <col min="3593" max="3593" width="11.25" style="7" customWidth="1"/>
    <col min="3594" max="3811" width="9" style="7" customWidth="1"/>
    <col min="3812" max="3812" width="9.625" style="7" customWidth="1"/>
    <col min="3813" max="3813" width="7.625" style="7" customWidth="1"/>
    <col min="3814" max="3814" width="18.5" style="7" customWidth="1"/>
    <col min="3815" max="3815" width="6.625" style="7" customWidth="1"/>
    <col min="3816" max="3816" width="12.25" style="7" customWidth="1"/>
    <col min="3817" max="3817" width="8" style="7" customWidth="1"/>
    <col min="3818" max="3818" width="10.625" style="7" customWidth="1"/>
    <col min="3819" max="3819" width="8" style="7" customWidth="1"/>
    <col min="3820" max="3820" width="11.375" style="7" customWidth="1"/>
    <col min="3821" max="3821" width="11.5" style="7" customWidth="1"/>
    <col min="3822" max="3822" width="8" style="7" customWidth="1"/>
    <col min="3823" max="3823" width="11.25" style="7" customWidth="1"/>
    <col min="3824" max="3824" width="8" style="7" customWidth="1"/>
    <col min="3825" max="3825" width="10.875" style="7" customWidth="1"/>
    <col min="3826" max="3826" width="12.25" style="7" customWidth="1"/>
    <col min="3827" max="3827" width="8" style="7" customWidth="1"/>
    <col min="3828" max="3828" width="11.875" style="7" customWidth="1"/>
    <col min="3829" max="3829" width="8" style="7" customWidth="1"/>
    <col min="3830" max="3830" width="11" style="7" customWidth="1"/>
    <col min="3831" max="3831" width="12.25" style="7" customWidth="1"/>
    <col min="3832" max="3832" width="8" style="7" customWidth="1"/>
    <col min="3833" max="3833" width="11.875" style="7" customWidth="1"/>
    <col min="3834" max="3834" width="8" style="7" customWidth="1"/>
    <col min="3835" max="3835" width="12.25" style="7" customWidth="1"/>
    <col min="3836" max="3836" width="14.25" style="7" customWidth="1"/>
    <col min="3837" max="3837" width="8" style="7" customWidth="1"/>
    <col min="3838" max="3838" width="14" style="7" customWidth="1"/>
    <col min="3839" max="3839" width="8.875" style="7" customWidth="1"/>
    <col min="3840" max="3840" width="15.25" style="7" customWidth="1"/>
    <col min="3841" max="3841" width="16.375" style="7" customWidth="1"/>
    <col min="3842" max="3842" width="8.875" style="7" customWidth="1"/>
    <col min="3843" max="3843" width="9.625" style="7" customWidth="1"/>
    <col min="3844" max="3844" width="8.75" style="7" customWidth="1"/>
    <col min="3845" max="3845" width="12.375" style="7" customWidth="1"/>
    <col min="3846" max="3846" width="8.75" style="7" customWidth="1"/>
    <col min="3847" max="3847" width="11.5" style="7" customWidth="1"/>
    <col min="3848" max="3848" width="6.625" style="7" customWidth="1"/>
    <col min="3849" max="3849" width="11.25" style="7" customWidth="1"/>
    <col min="3850" max="4067" width="9" style="7" customWidth="1"/>
    <col min="4068" max="4068" width="9.625" style="7" customWidth="1"/>
    <col min="4069" max="4069" width="7.625" style="7" customWidth="1"/>
    <col min="4070" max="4070" width="18.5" style="7" customWidth="1"/>
    <col min="4071" max="4071" width="6.625" style="7" customWidth="1"/>
    <col min="4072" max="4072" width="12.25" style="7" customWidth="1"/>
    <col min="4073" max="4073" width="8" style="7" customWidth="1"/>
    <col min="4074" max="4074" width="10.625" style="7" customWidth="1"/>
    <col min="4075" max="4075" width="8" style="7" customWidth="1"/>
    <col min="4076" max="4076" width="11.375" style="7" customWidth="1"/>
    <col min="4077" max="4077" width="11.5" style="7" customWidth="1"/>
    <col min="4078" max="4078" width="8" style="7" customWidth="1"/>
    <col min="4079" max="4079" width="11.25" style="7" customWidth="1"/>
    <col min="4080" max="4080" width="8" style="7" customWidth="1"/>
    <col min="4081" max="4081" width="10.875" style="7" customWidth="1"/>
    <col min="4082" max="4082" width="12.25" style="7" customWidth="1"/>
    <col min="4083" max="4083" width="8" style="7" customWidth="1"/>
    <col min="4084" max="4084" width="11.875" style="7" customWidth="1"/>
    <col min="4085" max="4085" width="8" style="7" customWidth="1"/>
    <col min="4086" max="4086" width="11" style="7" customWidth="1"/>
    <col min="4087" max="4087" width="12.25" style="7" customWidth="1"/>
    <col min="4088" max="4088" width="8" style="7" customWidth="1"/>
    <col min="4089" max="4089" width="11.875" style="7" customWidth="1"/>
    <col min="4090" max="4090" width="8" style="7" customWidth="1"/>
    <col min="4091" max="4091" width="12.25" style="7" customWidth="1"/>
    <col min="4092" max="4092" width="14.25" style="7" customWidth="1"/>
    <col min="4093" max="4093" width="8" style="7" customWidth="1"/>
    <col min="4094" max="4094" width="14" style="7" customWidth="1"/>
    <col min="4095" max="4095" width="8.875" style="7" customWidth="1"/>
    <col min="4096" max="4096" width="15.25" style="7" customWidth="1"/>
    <col min="4097" max="4097" width="16.375" style="7" customWidth="1"/>
    <col min="4098" max="4098" width="8.875" style="7" customWidth="1"/>
    <col min="4099" max="4099" width="9.625" style="7" customWidth="1"/>
    <col min="4100" max="4100" width="8.75" style="7" customWidth="1"/>
    <col min="4101" max="4101" width="12.375" style="7" customWidth="1"/>
    <col min="4102" max="4102" width="8.75" style="7" customWidth="1"/>
    <col min="4103" max="4103" width="11.5" style="7" customWidth="1"/>
    <col min="4104" max="4104" width="6.625" style="7" customWidth="1"/>
    <col min="4105" max="4105" width="11.25" style="7" customWidth="1"/>
    <col min="4106" max="4323" width="9" style="7" customWidth="1"/>
    <col min="4324" max="4324" width="9.625" style="7" customWidth="1"/>
    <col min="4325" max="4325" width="7.625" style="7" customWidth="1"/>
    <col min="4326" max="4326" width="18.5" style="7" customWidth="1"/>
    <col min="4327" max="4327" width="6.625" style="7" customWidth="1"/>
    <col min="4328" max="4328" width="12.25" style="7" customWidth="1"/>
    <col min="4329" max="4329" width="8" style="7" customWidth="1"/>
    <col min="4330" max="4330" width="10.625" style="7" customWidth="1"/>
    <col min="4331" max="4331" width="8" style="7" customWidth="1"/>
    <col min="4332" max="4332" width="11.375" style="7" customWidth="1"/>
    <col min="4333" max="4333" width="11.5" style="7" customWidth="1"/>
    <col min="4334" max="4334" width="8" style="7" customWidth="1"/>
    <col min="4335" max="4335" width="11.25" style="7" customWidth="1"/>
    <col min="4336" max="4336" width="8" style="7" customWidth="1"/>
    <col min="4337" max="4337" width="10.875" style="7" customWidth="1"/>
    <col min="4338" max="4338" width="12.25" style="7" customWidth="1"/>
    <col min="4339" max="4339" width="8" style="7" customWidth="1"/>
    <col min="4340" max="4340" width="11.875" style="7" customWidth="1"/>
    <col min="4341" max="4341" width="8" style="7" customWidth="1"/>
    <col min="4342" max="4342" width="11" style="7" customWidth="1"/>
    <col min="4343" max="4343" width="12.25" style="7" customWidth="1"/>
    <col min="4344" max="4344" width="8" style="7" customWidth="1"/>
    <col min="4345" max="4345" width="11.875" style="7" customWidth="1"/>
    <col min="4346" max="4346" width="8" style="7" customWidth="1"/>
    <col min="4347" max="4347" width="12.25" style="7" customWidth="1"/>
    <col min="4348" max="4348" width="14.25" style="7" customWidth="1"/>
    <col min="4349" max="4349" width="8" style="7" customWidth="1"/>
    <col min="4350" max="4350" width="14" style="7" customWidth="1"/>
    <col min="4351" max="4351" width="8.875" style="7" customWidth="1"/>
    <col min="4352" max="4352" width="15.25" style="7" customWidth="1"/>
    <col min="4353" max="4353" width="16.375" style="7" customWidth="1"/>
    <col min="4354" max="4354" width="8.875" style="7" customWidth="1"/>
    <col min="4355" max="4355" width="9.625" style="7" customWidth="1"/>
    <col min="4356" max="4356" width="8.75" style="7" customWidth="1"/>
    <col min="4357" max="4357" width="12.375" style="7" customWidth="1"/>
    <col min="4358" max="4358" width="8.75" style="7" customWidth="1"/>
    <col min="4359" max="4359" width="11.5" style="7" customWidth="1"/>
    <col min="4360" max="4360" width="6.625" style="7" customWidth="1"/>
    <col min="4361" max="4361" width="11.25" style="7" customWidth="1"/>
    <col min="4362" max="4579" width="9" style="7" customWidth="1"/>
    <col min="4580" max="4580" width="9.625" style="7" customWidth="1"/>
    <col min="4581" max="4581" width="7.625" style="7" customWidth="1"/>
    <col min="4582" max="4582" width="18.5" style="7" customWidth="1"/>
    <col min="4583" max="4583" width="6.625" style="7" customWidth="1"/>
    <col min="4584" max="4584" width="12.25" style="7" customWidth="1"/>
    <col min="4585" max="4585" width="8" style="7" customWidth="1"/>
    <col min="4586" max="4586" width="10.625" style="7" customWidth="1"/>
    <col min="4587" max="4587" width="8" style="7" customWidth="1"/>
    <col min="4588" max="4588" width="11.375" style="7" customWidth="1"/>
    <col min="4589" max="4589" width="11.5" style="7" customWidth="1"/>
    <col min="4590" max="4590" width="8" style="7" customWidth="1"/>
    <col min="4591" max="4591" width="11.25" style="7" customWidth="1"/>
    <col min="4592" max="4592" width="8" style="7" customWidth="1"/>
    <col min="4593" max="4593" width="10.875" style="7" customWidth="1"/>
    <col min="4594" max="4594" width="12.25" style="7" customWidth="1"/>
    <col min="4595" max="4595" width="8" style="7" customWidth="1"/>
    <col min="4596" max="4596" width="11.875" style="7" customWidth="1"/>
    <col min="4597" max="4597" width="8" style="7" customWidth="1"/>
    <col min="4598" max="4598" width="11" style="7" customWidth="1"/>
    <col min="4599" max="4599" width="12.25" style="7" customWidth="1"/>
    <col min="4600" max="4600" width="8" style="7" customWidth="1"/>
    <col min="4601" max="4601" width="11.875" style="7" customWidth="1"/>
    <col min="4602" max="4602" width="8" style="7" customWidth="1"/>
    <col min="4603" max="4603" width="12.25" style="7" customWidth="1"/>
    <col min="4604" max="4604" width="14.25" style="7" customWidth="1"/>
    <col min="4605" max="4605" width="8" style="7" customWidth="1"/>
    <col min="4606" max="4606" width="14" style="7" customWidth="1"/>
    <col min="4607" max="4607" width="8.875" style="7" customWidth="1"/>
    <col min="4608" max="4608" width="15.25" style="7" customWidth="1"/>
    <col min="4609" max="4609" width="16.375" style="7" customWidth="1"/>
    <col min="4610" max="4610" width="8.875" style="7" customWidth="1"/>
    <col min="4611" max="4611" width="9.625" style="7" customWidth="1"/>
    <col min="4612" max="4612" width="8.75" style="7" customWidth="1"/>
    <col min="4613" max="4613" width="12.375" style="7" customWidth="1"/>
    <col min="4614" max="4614" width="8.75" style="7" customWidth="1"/>
    <col min="4615" max="4615" width="11.5" style="7" customWidth="1"/>
    <col min="4616" max="4616" width="6.625" style="7" customWidth="1"/>
    <col min="4617" max="4617" width="11.25" style="7" customWidth="1"/>
    <col min="4618" max="4835" width="9" style="7" customWidth="1"/>
    <col min="4836" max="4836" width="9.625" style="7" customWidth="1"/>
    <col min="4837" max="4837" width="7.625" style="7" customWidth="1"/>
    <col min="4838" max="4838" width="18.5" style="7" customWidth="1"/>
    <col min="4839" max="4839" width="6.625" style="7" customWidth="1"/>
    <col min="4840" max="4840" width="12.25" style="7" customWidth="1"/>
    <col min="4841" max="4841" width="8" style="7" customWidth="1"/>
    <col min="4842" max="4842" width="10.625" style="7" customWidth="1"/>
    <col min="4843" max="4843" width="8" style="7" customWidth="1"/>
    <col min="4844" max="4844" width="11.375" style="7" customWidth="1"/>
    <col min="4845" max="4845" width="11.5" style="7" customWidth="1"/>
    <col min="4846" max="4846" width="8" style="7" customWidth="1"/>
    <col min="4847" max="4847" width="11.25" style="7" customWidth="1"/>
    <col min="4848" max="4848" width="8" style="7" customWidth="1"/>
    <col min="4849" max="4849" width="10.875" style="7" customWidth="1"/>
    <col min="4850" max="4850" width="12.25" style="7" customWidth="1"/>
    <col min="4851" max="4851" width="8" style="7" customWidth="1"/>
    <col min="4852" max="4852" width="11.875" style="7" customWidth="1"/>
    <col min="4853" max="4853" width="8" style="7" customWidth="1"/>
    <col min="4854" max="4854" width="11" style="7" customWidth="1"/>
    <col min="4855" max="4855" width="12.25" style="7" customWidth="1"/>
    <col min="4856" max="4856" width="8" style="7" customWidth="1"/>
    <col min="4857" max="4857" width="11.875" style="7" customWidth="1"/>
    <col min="4858" max="4858" width="8" style="7" customWidth="1"/>
    <col min="4859" max="4859" width="12.25" style="7" customWidth="1"/>
    <col min="4860" max="4860" width="14.25" style="7" customWidth="1"/>
    <col min="4861" max="4861" width="8" style="7" customWidth="1"/>
    <col min="4862" max="4862" width="14" style="7" customWidth="1"/>
    <col min="4863" max="4863" width="8.875" style="7" customWidth="1"/>
    <col min="4864" max="4864" width="15.25" style="7" customWidth="1"/>
    <col min="4865" max="4865" width="16.375" style="7" customWidth="1"/>
    <col min="4866" max="4866" width="8.875" style="7" customWidth="1"/>
    <col min="4867" max="4867" width="9.625" style="7" customWidth="1"/>
    <col min="4868" max="4868" width="8.75" style="7" customWidth="1"/>
    <col min="4869" max="4869" width="12.375" style="7" customWidth="1"/>
    <col min="4870" max="4870" width="8.75" style="7" customWidth="1"/>
    <col min="4871" max="4871" width="11.5" style="7" customWidth="1"/>
    <col min="4872" max="4872" width="6.625" style="7" customWidth="1"/>
    <col min="4873" max="4873" width="11.25" style="7" customWidth="1"/>
    <col min="4874" max="5091" width="9" style="7" customWidth="1"/>
    <col min="5092" max="5092" width="9.625" style="7" customWidth="1"/>
    <col min="5093" max="5093" width="7.625" style="7" customWidth="1"/>
    <col min="5094" max="5094" width="18.5" style="7" customWidth="1"/>
    <col min="5095" max="5095" width="6.625" style="7" customWidth="1"/>
    <col min="5096" max="5096" width="12.25" style="7" customWidth="1"/>
    <col min="5097" max="5097" width="8" style="7" customWidth="1"/>
    <col min="5098" max="5098" width="10.625" style="7" customWidth="1"/>
    <col min="5099" max="5099" width="8" style="7" customWidth="1"/>
    <col min="5100" max="5100" width="11.375" style="7" customWidth="1"/>
    <col min="5101" max="5101" width="11.5" style="7" customWidth="1"/>
    <col min="5102" max="5102" width="8" style="7" customWidth="1"/>
    <col min="5103" max="5103" width="11.25" style="7" customWidth="1"/>
    <col min="5104" max="5104" width="8" style="7" customWidth="1"/>
    <col min="5105" max="5105" width="10.875" style="7" customWidth="1"/>
    <col min="5106" max="5106" width="12.25" style="7" customWidth="1"/>
    <col min="5107" max="5107" width="8" style="7" customWidth="1"/>
    <col min="5108" max="5108" width="11.875" style="7" customWidth="1"/>
    <col min="5109" max="5109" width="8" style="7" customWidth="1"/>
    <col min="5110" max="5110" width="11" style="7" customWidth="1"/>
    <col min="5111" max="5111" width="12.25" style="7" customWidth="1"/>
    <col min="5112" max="5112" width="8" style="7" customWidth="1"/>
    <col min="5113" max="5113" width="11.875" style="7" customWidth="1"/>
    <col min="5114" max="5114" width="8" style="7" customWidth="1"/>
    <col min="5115" max="5115" width="12.25" style="7" customWidth="1"/>
    <col min="5116" max="5116" width="14.25" style="7" customWidth="1"/>
    <col min="5117" max="5117" width="8" style="7" customWidth="1"/>
    <col min="5118" max="5118" width="14" style="7" customWidth="1"/>
    <col min="5119" max="5119" width="8.875" style="7" customWidth="1"/>
    <col min="5120" max="5120" width="15.25" style="7" customWidth="1"/>
    <col min="5121" max="5121" width="16.375" style="7" customWidth="1"/>
    <col min="5122" max="5122" width="8.875" style="7" customWidth="1"/>
    <col min="5123" max="5123" width="9.625" style="7" customWidth="1"/>
    <col min="5124" max="5124" width="8.75" style="7" customWidth="1"/>
    <col min="5125" max="5125" width="12.375" style="7" customWidth="1"/>
    <col min="5126" max="5126" width="8.75" style="7" customWidth="1"/>
    <col min="5127" max="5127" width="11.5" style="7" customWidth="1"/>
    <col min="5128" max="5128" width="6.625" style="7" customWidth="1"/>
    <col min="5129" max="5129" width="11.25" style="7" customWidth="1"/>
    <col min="5130" max="5347" width="9" style="7" customWidth="1"/>
    <col min="5348" max="5348" width="9.625" style="7" customWidth="1"/>
    <col min="5349" max="5349" width="7.625" style="7" customWidth="1"/>
    <col min="5350" max="5350" width="18.5" style="7" customWidth="1"/>
    <col min="5351" max="5351" width="6.625" style="7" customWidth="1"/>
    <col min="5352" max="5352" width="12.25" style="7" customWidth="1"/>
    <col min="5353" max="5353" width="8" style="7" customWidth="1"/>
    <col min="5354" max="5354" width="10.625" style="7" customWidth="1"/>
    <col min="5355" max="5355" width="8" style="7" customWidth="1"/>
    <col min="5356" max="5356" width="11.375" style="7" customWidth="1"/>
    <col min="5357" max="5357" width="11.5" style="7" customWidth="1"/>
    <col min="5358" max="5358" width="8" style="7" customWidth="1"/>
    <col min="5359" max="5359" width="11.25" style="7" customWidth="1"/>
    <col min="5360" max="5360" width="8" style="7" customWidth="1"/>
    <col min="5361" max="5361" width="10.875" style="7" customWidth="1"/>
    <col min="5362" max="5362" width="12.25" style="7" customWidth="1"/>
    <col min="5363" max="5363" width="8" style="7" customWidth="1"/>
    <col min="5364" max="5364" width="11.875" style="7" customWidth="1"/>
    <col min="5365" max="5365" width="8" style="7" customWidth="1"/>
    <col min="5366" max="5366" width="11" style="7" customWidth="1"/>
    <col min="5367" max="5367" width="12.25" style="7" customWidth="1"/>
    <col min="5368" max="5368" width="8" style="7" customWidth="1"/>
    <col min="5369" max="5369" width="11.875" style="7" customWidth="1"/>
    <col min="5370" max="5370" width="8" style="7" customWidth="1"/>
    <col min="5371" max="5371" width="12.25" style="7" customWidth="1"/>
    <col min="5372" max="5372" width="14.25" style="7" customWidth="1"/>
    <col min="5373" max="5373" width="8" style="7" customWidth="1"/>
    <col min="5374" max="5374" width="14" style="7" customWidth="1"/>
    <col min="5375" max="5375" width="8.875" style="7" customWidth="1"/>
    <col min="5376" max="5376" width="15.25" style="7" customWidth="1"/>
    <col min="5377" max="5377" width="16.375" style="7" customWidth="1"/>
    <col min="5378" max="5378" width="8.875" style="7" customWidth="1"/>
    <col min="5379" max="5379" width="9.625" style="7" customWidth="1"/>
    <col min="5380" max="5380" width="8.75" style="7" customWidth="1"/>
    <col min="5381" max="5381" width="12.375" style="7" customWidth="1"/>
    <col min="5382" max="5382" width="8.75" style="7" customWidth="1"/>
    <col min="5383" max="5383" width="11.5" style="7" customWidth="1"/>
    <col min="5384" max="5384" width="6.625" style="7" customWidth="1"/>
    <col min="5385" max="5385" width="11.25" style="7" customWidth="1"/>
    <col min="5386" max="5603" width="9" style="7" customWidth="1"/>
    <col min="5604" max="5604" width="9.625" style="7" customWidth="1"/>
    <col min="5605" max="5605" width="7.625" style="7" customWidth="1"/>
    <col min="5606" max="5606" width="18.5" style="7" customWidth="1"/>
    <col min="5607" max="5607" width="6.625" style="7" customWidth="1"/>
    <col min="5608" max="5608" width="12.25" style="7" customWidth="1"/>
    <col min="5609" max="5609" width="8" style="7" customWidth="1"/>
    <col min="5610" max="5610" width="10.625" style="7" customWidth="1"/>
    <col min="5611" max="5611" width="8" style="7" customWidth="1"/>
    <col min="5612" max="5612" width="11.375" style="7" customWidth="1"/>
    <col min="5613" max="5613" width="11.5" style="7" customWidth="1"/>
    <col min="5614" max="5614" width="8" style="7" customWidth="1"/>
    <col min="5615" max="5615" width="11.25" style="7" customWidth="1"/>
    <col min="5616" max="5616" width="8" style="7" customWidth="1"/>
    <col min="5617" max="5617" width="10.875" style="7" customWidth="1"/>
    <col min="5618" max="5618" width="12.25" style="7" customWidth="1"/>
    <col min="5619" max="5619" width="8" style="7" customWidth="1"/>
    <col min="5620" max="5620" width="11.875" style="7" customWidth="1"/>
    <col min="5621" max="5621" width="8" style="7" customWidth="1"/>
    <col min="5622" max="5622" width="11" style="7" customWidth="1"/>
    <col min="5623" max="5623" width="12.25" style="7" customWidth="1"/>
    <col min="5624" max="5624" width="8" style="7" customWidth="1"/>
    <col min="5625" max="5625" width="11.875" style="7" customWidth="1"/>
    <col min="5626" max="5626" width="8" style="7" customWidth="1"/>
    <col min="5627" max="5627" width="12.25" style="7" customWidth="1"/>
    <col min="5628" max="5628" width="14.25" style="7" customWidth="1"/>
    <col min="5629" max="5629" width="8" style="7" customWidth="1"/>
    <col min="5630" max="5630" width="14" style="7" customWidth="1"/>
    <col min="5631" max="5631" width="8.875" style="7" customWidth="1"/>
    <col min="5632" max="5632" width="15.25" style="7" customWidth="1"/>
    <col min="5633" max="5633" width="16.375" style="7" customWidth="1"/>
    <col min="5634" max="5634" width="8.875" style="7" customWidth="1"/>
    <col min="5635" max="5635" width="9.625" style="7" customWidth="1"/>
    <col min="5636" max="5636" width="8.75" style="7" customWidth="1"/>
    <col min="5637" max="5637" width="12.375" style="7" customWidth="1"/>
    <col min="5638" max="5638" width="8.75" style="7" customWidth="1"/>
    <col min="5639" max="5639" width="11.5" style="7" customWidth="1"/>
    <col min="5640" max="5640" width="6.625" style="7" customWidth="1"/>
    <col min="5641" max="5641" width="11.25" style="7" customWidth="1"/>
    <col min="5642" max="5859" width="9" style="7" customWidth="1"/>
    <col min="5860" max="5860" width="9.625" style="7" customWidth="1"/>
    <col min="5861" max="5861" width="7.625" style="7" customWidth="1"/>
    <col min="5862" max="5862" width="18.5" style="7" customWidth="1"/>
    <col min="5863" max="5863" width="6.625" style="7" customWidth="1"/>
    <col min="5864" max="5864" width="12.25" style="7" customWidth="1"/>
    <col min="5865" max="5865" width="8" style="7" customWidth="1"/>
    <col min="5866" max="5866" width="10.625" style="7" customWidth="1"/>
    <col min="5867" max="5867" width="8" style="7" customWidth="1"/>
    <col min="5868" max="5868" width="11.375" style="7" customWidth="1"/>
    <col min="5869" max="5869" width="11.5" style="7" customWidth="1"/>
    <col min="5870" max="5870" width="8" style="7" customWidth="1"/>
    <col min="5871" max="5871" width="11.25" style="7" customWidth="1"/>
    <col min="5872" max="5872" width="8" style="7" customWidth="1"/>
    <col min="5873" max="5873" width="10.875" style="7" customWidth="1"/>
    <col min="5874" max="5874" width="12.25" style="7" customWidth="1"/>
    <col min="5875" max="5875" width="8" style="7" customWidth="1"/>
    <col min="5876" max="5876" width="11.875" style="7" customWidth="1"/>
    <col min="5877" max="5877" width="8" style="7" customWidth="1"/>
    <col min="5878" max="5878" width="11" style="7" customWidth="1"/>
    <col min="5879" max="5879" width="12.25" style="7" customWidth="1"/>
    <col min="5880" max="5880" width="8" style="7" customWidth="1"/>
    <col min="5881" max="5881" width="11.875" style="7" customWidth="1"/>
    <col min="5882" max="5882" width="8" style="7" customWidth="1"/>
    <col min="5883" max="5883" width="12.25" style="7" customWidth="1"/>
    <col min="5884" max="5884" width="14.25" style="7" customWidth="1"/>
    <col min="5885" max="5885" width="8" style="7" customWidth="1"/>
    <col min="5886" max="5886" width="14" style="7" customWidth="1"/>
    <col min="5887" max="5887" width="8.875" style="7" customWidth="1"/>
    <col min="5888" max="5888" width="15.25" style="7" customWidth="1"/>
    <col min="5889" max="5889" width="16.375" style="7" customWidth="1"/>
    <col min="5890" max="5890" width="8.875" style="7" customWidth="1"/>
    <col min="5891" max="5891" width="9.625" style="7" customWidth="1"/>
    <col min="5892" max="5892" width="8.75" style="7" customWidth="1"/>
    <col min="5893" max="5893" width="12.375" style="7" customWidth="1"/>
    <col min="5894" max="5894" width="8.75" style="7" customWidth="1"/>
    <col min="5895" max="5895" width="11.5" style="7" customWidth="1"/>
    <col min="5896" max="5896" width="6.625" style="7" customWidth="1"/>
    <col min="5897" max="5897" width="11.25" style="7" customWidth="1"/>
    <col min="5898" max="6115" width="9" style="7" customWidth="1"/>
    <col min="6116" max="6116" width="9.625" style="7" customWidth="1"/>
    <col min="6117" max="6117" width="7.625" style="7" customWidth="1"/>
    <col min="6118" max="6118" width="18.5" style="7" customWidth="1"/>
    <col min="6119" max="6119" width="6.625" style="7" customWidth="1"/>
    <col min="6120" max="6120" width="12.25" style="7" customWidth="1"/>
    <col min="6121" max="6121" width="8" style="7" customWidth="1"/>
    <col min="6122" max="6122" width="10.625" style="7" customWidth="1"/>
    <col min="6123" max="6123" width="8" style="7" customWidth="1"/>
    <col min="6124" max="6124" width="11.375" style="7" customWidth="1"/>
    <col min="6125" max="6125" width="11.5" style="7" customWidth="1"/>
    <col min="6126" max="6126" width="8" style="7" customWidth="1"/>
    <col min="6127" max="6127" width="11.25" style="7" customWidth="1"/>
    <col min="6128" max="6128" width="8" style="7" customWidth="1"/>
    <col min="6129" max="6129" width="10.875" style="7" customWidth="1"/>
    <col min="6130" max="6130" width="12.25" style="7" customWidth="1"/>
    <col min="6131" max="6131" width="8" style="7" customWidth="1"/>
    <col min="6132" max="6132" width="11.875" style="7" customWidth="1"/>
    <col min="6133" max="6133" width="8" style="7" customWidth="1"/>
    <col min="6134" max="6134" width="11" style="7" customWidth="1"/>
    <col min="6135" max="6135" width="12.25" style="7" customWidth="1"/>
    <col min="6136" max="6136" width="8" style="7" customWidth="1"/>
    <col min="6137" max="6137" width="11.875" style="7" customWidth="1"/>
    <col min="6138" max="6138" width="8" style="7" customWidth="1"/>
    <col min="6139" max="6139" width="12.25" style="7" customWidth="1"/>
    <col min="6140" max="6140" width="14.25" style="7" customWidth="1"/>
    <col min="6141" max="6141" width="8" style="7" customWidth="1"/>
    <col min="6142" max="6142" width="14" style="7" customWidth="1"/>
    <col min="6143" max="6143" width="8.875" style="7" customWidth="1"/>
    <col min="6144" max="6144" width="15.25" style="7" customWidth="1"/>
    <col min="6145" max="6145" width="16.375" style="7" customWidth="1"/>
    <col min="6146" max="6146" width="8.875" style="7" customWidth="1"/>
    <col min="6147" max="6147" width="9.625" style="7" customWidth="1"/>
    <col min="6148" max="6148" width="8.75" style="7" customWidth="1"/>
    <col min="6149" max="6149" width="12.375" style="7" customWidth="1"/>
    <col min="6150" max="6150" width="8.75" style="7" customWidth="1"/>
    <col min="6151" max="6151" width="11.5" style="7" customWidth="1"/>
    <col min="6152" max="6152" width="6.625" style="7" customWidth="1"/>
    <col min="6153" max="6153" width="11.25" style="7" customWidth="1"/>
    <col min="6154" max="6371" width="9" style="7" customWidth="1"/>
    <col min="6372" max="6372" width="9.625" style="7" customWidth="1"/>
    <col min="6373" max="6373" width="7.625" style="7" customWidth="1"/>
    <col min="6374" max="6374" width="18.5" style="7" customWidth="1"/>
    <col min="6375" max="6375" width="6.625" style="7" customWidth="1"/>
    <col min="6376" max="6376" width="12.25" style="7" customWidth="1"/>
    <col min="6377" max="6377" width="8" style="7" customWidth="1"/>
    <col min="6378" max="6378" width="10.625" style="7" customWidth="1"/>
    <col min="6379" max="6379" width="8" style="7" customWidth="1"/>
    <col min="6380" max="6380" width="11.375" style="7" customWidth="1"/>
    <col min="6381" max="6381" width="11.5" style="7" customWidth="1"/>
    <col min="6382" max="6382" width="8" style="7" customWidth="1"/>
    <col min="6383" max="6383" width="11.25" style="7" customWidth="1"/>
    <col min="6384" max="6384" width="8" style="7" customWidth="1"/>
    <col min="6385" max="6385" width="10.875" style="7" customWidth="1"/>
    <col min="6386" max="6386" width="12.25" style="7" customWidth="1"/>
    <col min="6387" max="6387" width="8" style="7" customWidth="1"/>
    <col min="6388" max="6388" width="11.875" style="7" customWidth="1"/>
    <col min="6389" max="6389" width="8" style="7" customWidth="1"/>
    <col min="6390" max="6390" width="11" style="7" customWidth="1"/>
    <col min="6391" max="6391" width="12.25" style="7" customWidth="1"/>
    <col min="6392" max="6392" width="8" style="7" customWidth="1"/>
    <col min="6393" max="6393" width="11.875" style="7" customWidth="1"/>
    <col min="6394" max="6394" width="8" style="7" customWidth="1"/>
    <col min="6395" max="6395" width="12.25" style="7" customWidth="1"/>
    <col min="6396" max="6396" width="14.25" style="7" customWidth="1"/>
    <col min="6397" max="6397" width="8" style="7" customWidth="1"/>
    <col min="6398" max="6398" width="14" style="7" customWidth="1"/>
    <col min="6399" max="6399" width="8.875" style="7" customWidth="1"/>
    <col min="6400" max="6400" width="15.25" style="7" customWidth="1"/>
    <col min="6401" max="6401" width="16.375" style="7" customWidth="1"/>
    <col min="6402" max="6402" width="8.875" style="7" customWidth="1"/>
    <col min="6403" max="6403" width="9.625" style="7" customWidth="1"/>
    <col min="6404" max="6404" width="8.75" style="7" customWidth="1"/>
    <col min="6405" max="6405" width="12.375" style="7" customWidth="1"/>
    <col min="6406" max="6406" width="8.75" style="7" customWidth="1"/>
    <col min="6407" max="6407" width="11.5" style="7" customWidth="1"/>
    <col min="6408" max="6408" width="6.625" style="7" customWidth="1"/>
    <col min="6409" max="6409" width="11.25" style="7" customWidth="1"/>
    <col min="6410" max="6627" width="9" style="7" customWidth="1"/>
    <col min="6628" max="6628" width="9.625" style="7" customWidth="1"/>
    <col min="6629" max="6629" width="7.625" style="7" customWidth="1"/>
    <col min="6630" max="6630" width="18.5" style="7" customWidth="1"/>
    <col min="6631" max="6631" width="6.625" style="7" customWidth="1"/>
    <col min="6632" max="6632" width="12.25" style="7" customWidth="1"/>
    <col min="6633" max="6633" width="8" style="7" customWidth="1"/>
    <col min="6634" max="6634" width="10.625" style="7" customWidth="1"/>
    <col min="6635" max="6635" width="8" style="7" customWidth="1"/>
    <col min="6636" max="6636" width="11.375" style="7" customWidth="1"/>
    <col min="6637" max="6637" width="11.5" style="7" customWidth="1"/>
    <col min="6638" max="6638" width="8" style="7" customWidth="1"/>
    <col min="6639" max="6639" width="11.25" style="7" customWidth="1"/>
    <col min="6640" max="6640" width="8" style="7" customWidth="1"/>
    <col min="6641" max="6641" width="10.875" style="7" customWidth="1"/>
    <col min="6642" max="6642" width="12.25" style="7" customWidth="1"/>
    <col min="6643" max="6643" width="8" style="7" customWidth="1"/>
    <col min="6644" max="6644" width="11.875" style="7" customWidth="1"/>
    <col min="6645" max="6645" width="8" style="7" customWidth="1"/>
    <col min="6646" max="6646" width="11" style="7" customWidth="1"/>
    <col min="6647" max="6647" width="12.25" style="7" customWidth="1"/>
    <col min="6648" max="6648" width="8" style="7" customWidth="1"/>
    <col min="6649" max="6649" width="11.875" style="7" customWidth="1"/>
    <col min="6650" max="6650" width="8" style="7" customWidth="1"/>
    <col min="6651" max="6651" width="12.25" style="7" customWidth="1"/>
    <col min="6652" max="6652" width="14.25" style="7" customWidth="1"/>
    <col min="6653" max="6653" width="8" style="7" customWidth="1"/>
    <col min="6654" max="6654" width="14" style="7" customWidth="1"/>
    <col min="6655" max="6655" width="8.875" style="7" customWidth="1"/>
    <col min="6656" max="6656" width="15.25" style="7" customWidth="1"/>
    <col min="6657" max="6657" width="16.375" style="7" customWidth="1"/>
    <col min="6658" max="6658" width="8.875" style="7" customWidth="1"/>
    <col min="6659" max="6659" width="9.625" style="7" customWidth="1"/>
    <col min="6660" max="6660" width="8.75" style="7" customWidth="1"/>
    <col min="6661" max="6661" width="12.375" style="7" customWidth="1"/>
    <col min="6662" max="6662" width="8.75" style="7" customWidth="1"/>
    <col min="6663" max="6663" width="11.5" style="7" customWidth="1"/>
    <col min="6664" max="6664" width="6.625" style="7" customWidth="1"/>
    <col min="6665" max="6665" width="11.25" style="7" customWidth="1"/>
    <col min="6666" max="6883" width="9" style="7" customWidth="1"/>
    <col min="6884" max="6884" width="9.625" style="7" customWidth="1"/>
    <col min="6885" max="6885" width="7.625" style="7" customWidth="1"/>
    <col min="6886" max="6886" width="18.5" style="7" customWidth="1"/>
    <col min="6887" max="6887" width="6.625" style="7" customWidth="1"/>
    <col min="6888" max="6888" width="12.25" style="7" customWidth="1"/>
    <col min="6889" max="6889" width="8" style="7" customWidth="1"/>
    <col min="6890" max="6890" width="10.625" style="7" customWidth="1"/>
    <col min="6891" max="6891" width="8" style="7" customWidth="1"/>
    <col min="6892" max="6892" width="11.375" style="7" customWidth="1"/>
    <col min="6893" max="6893" width="11.5" style="7" customWidth="1"/>
    <col min="6894" max="6894" width="8" style="7" customWidth="1"/>
    <col min="6895" max="6895" width="11.25" style="7" customWidth="1"/>
    <col min="6896" max="6896" width="8" style="7" customWidth="1"/>
    <col min="6897" max="6897" width="10.875" style="7" customWidth="1"/>
    <col min="6898" max="6898" width="12.25" style="7" customWidth="1"/>
    <col min="6899" max="6899" width="8" style="7" customWidth="1"/>
    <col min="6900" max="6900" width="11.875" style="7" customWidth="1"/>
    <col min="6901" max="6901" width="8" style="7" customWidth="1"/>
    <col min="6902" max="6902" width="11" style="7" customWidth="1"/>
    <col min="6903" max="6903" width="12.25" style="7" customWidth="1"/>
    <col min="6904" max="6904" width="8" style="7" customWidth="1"/>
    <col min="6905" max="6905" width="11.875" style="7" customWidth="1"/>
    <col min="6906" max="6906" width="8" style="7" customWidth="1"/>
    <col min="6907" max="6907" width="12.25" style="7" customWidth="1"/>
    <col min="6908" max="6908" width="14.25" style="7" customWidth="1"/>
    <col min="6909" max="6909" width="8" style="7" customWidth="1"/>
    <col min="6910" max="6910" width="14" style="7" customWidth="1"/>
    <col min="6911" max="6911" width="8.875" style="7" customWidth="1"/>
    <col min="6912" max="6912" width="15.25" style="7" customWidth="1"/>
    <col min="6913" max="6913" width="16.375" style="7" customWidth="1"/>
    <col min="6914" max="6914" width="8.875" style="7" customWidth="1"/>
    <col min="6915" max="6915" width="9.625" style="7" customWidth="1"/>
    <col min="6916" max="6916" width="8.75" style="7" customWidth="1"/>
    <col min="6917" max="6917" width="12.375" style="7" customWidth="1"/>
    <col min="6918" max="6918" width="8.75" style="7" customWidth="1"/>
    <col min="6919" max="6919" width="11.5" style="7" customWidth="1"/>
    <col min="6920" max="6920" width="6.625" style="7" customWidth="1"/>
    <col min="6921" max="6921" width="11.25" style="7" customWidth="1"/>
    <col min="6922" max="7139" width="9" style="7" customWidth="1"/>
    <col min="7140" max="7140" width="9.625" style="7" customWidth="1"/>
    <col min="7141" max="7141" width="7.625" style="7" customWidth="1"/>
    <col min="7142" max="7142" width="18.5" style="7" customWidth="1"/>
    <col min="7143" max="7143" width="6.625" style="7" customWidth="1"/>
    <col min="7144" max="7144" width="12.25" style="7" customWidth="1"/>
    <col min="7145" max="7145" width="8" style="7" customWidth="1"/>
    <col min="7146" max="7146" width="10.625" style="7" customWidth="1"/>
    <col min="7147" max="7147" width="8" style="7" customWidth="1"/>
    <col min="7148" max="7148" width="11.375" style="7" customWidth="1"/>
    <col min="7149" max="7149" width="11.5" style="7" customWidth="1"/>
    <col min="7150" max="7150" width="8" style="7" customWidth="1"/>
    <col min="7151" max="7151" width="11.25" style="7" customWidth="1"/>
    <col min="7152" max="7152" width="8" style="7" customWidth="1"/>
    <col min="7153" max="7153" width="10.875" style="7" customWidth="1"/>
    <col min="7154" max="7154" width="12.25" style="7" customWidth="1"/>
    <col min="7155" max="7155" width="8" style="7" customWidth="1"/>
    <col min="7156" max="7156" width="11.875" style="7" customWidth="1"/>
    <col min="7157" max="7157" width="8" style="7" customWidth="1"/>
    <col min="7158" max="7158" width="11" style="7" customWidth="1"/>
    <col min="7159" max="7159" width="12.25" style="7" customWidth="1"/>
    <col min="7160" max="7160" width="8" style="7" customWidth="1"/>
    <col min="7161" max="7161" width="11.875" style="7" customWidth="1"/>
    <col min="7162" max="7162" width="8" style="7" customWidth="1"/>
    <col min="7163" max="7163" width="12.25" style="7" customWidth="1"/>
    <col min="7164" max="7164" width="14.25" style="7" customWidth="1"/>
    <col min="7165" max="7165" width="8" style="7" customWidth="1"/>
    <col min="7166" max="7166" width="14" style="7" customWidth="1"/>
    <col min="7167" max="7167" width="8.875" style="7" customWidth="1"/>
    <col min="7168" max="7168" width="15.25" style="7" customWidth="1"/>
    <col min="7169" max="7169" width="16.375" style="7" customWidth="1"/>
    <col min="7170" max="7170" width="8.875" style="7" customWidth="1"/>
    <col min="7171" max="7171" width="9.625" style="7" customWidth="1"/>
    <col min="7172" max="7172" width="8.75" style="7" customWidth="1"/>
    <col min="7173" max="7173" width="12.375" style="7" customWidth="1"/>
    <col min="7174" max="7174" width="8.75" style="7" customWidth="1"/>
    <col min="7175" max="7175" width="11.5" style="7" customWidth="1"/>
    <col min="7176" max="7176" width="6.625" style="7" customWidth="1"/>
    <col min="7177" max="7177" width="11.25" style="7" customWidth="1"/>
    <col min="7178" max="7395" width="9" style="7" customWidth="1"/>
    <col min="7396" max="7396" width="9.625" style="7" customWidth="1"/>
    <col min="7397" max="7397" width="7.625" style="7" customWidth="1"/>
    <col min="7398" max="7398" width="18.5" style="7" customWidth="1"/>
    <col min="7399" max="7399" width="6.625" style="7" customWidth="1"/>
    <col min="7400" max="7400" width="12.25" style="7" customWidth="1"/>
    <col min="7401" max="7401" width="8" style="7" customWidth="1"/>
    <col min="7402" max="7402" width="10.625" style="7" customWidth="1"/>
    <col min="7403" max="7403" width="8" style="7" customWidth="1"/>
    <col min="7404" max="7404" width="11.375" style="7" customWidth="1"/>
    <col min="7405" max="7405" width="11.5" style="7" customWidth="1"/>
    <col min="7406" max="7406" width="8" style="7" customWidth="1"/>
    <col min="7407" max="7407" width="11.25" style="7" customWidth="1"/>
    <col min="7408" max="7408" width="8" style="7" customWidth="1"/>
    <col min="7409" max="7409" width="10.875" style="7" customWidth="1"/>
    <col min="7410" max="7410" width="12.25" style="7" customWidth="1"/>
    <col min="7411" max="7411" width="8" style="7" customWidth="1"/>
    <col min="7412" max="7412" width="11.875" style="7" customWidth="1"/>
    <col min="7413" max="7413" width="8" style="7" customWidth="1"/>
    <col min="7414" max="7414" width="11" style="7" customWidth="1"/>
    <col min="7415" max="7415" width="12.25" style="7" customWidth="1"/>
    <col min="7416" max="7416" width="8" style="7" customWidth="1"/>
    <col min="7417" max="7417" width="11.875" style="7" customWidth="1"/>
    <col min="7418" max="7418" width="8" style="7" customWidth="1"/>
    <col min="7419" max="7419" width="12.25" style="7" customWidth="1"/>
    <col min="7420" max="7420" width="14.25" style="7" customWidth="1"/>
    <col min="7421" max="7421" width="8" style="7" customWidth="1"/>
    <col min="7422" max="7422" width="14" style="7" customWidth="1"/>
    <col min="7423" max="7423" width="8.875" style="7" customWidth="1"/>
    <col min="7424" max="7424" width="15.25" style="7" customWidth="1"/>
    <col min="7425" max="7425" width="16.375" style="7" customWidth="1"/>
    <col min="7426" max="7426" width="8.875" style="7" customWidth="1"/>
    <col min="7427" max="7427" width="9.625" style="7" customWidth="1"/>
    <col min="7428" max="7428" width="8.75" style="7" customWidth="1"/>
    <col min="7429" max="7429" width="12.375" style="7" customWidth="1"/>
    <col min="7430" max="7430" width="8.75" style="7" customWidth="1"/>
    <col min="7431" max="7431" width="11.5" style="7" customWidth="1"/>
    <col min="7432" max="7432" width="6.625" style="7" customWidth="1"/>
    <col min="7433" max="7433" width="11.25" style="7" customWidth="1"/>
    <col min="7434" max="7651" width="9" style="7" customWidth="1"/>
    <col min="7652" max="7652" width="9.625" style="7" customWidth="1"/>
    <col min="7653" max="7653" width="7.625" style="7" customWidth="1"/>
    <col min="7654" max="7654" width="18.5" style="7" customWidth="1"/>
    <col min="7655" max="7655" width="6.625" style="7" customWidth="1"/>
    <col min="7656" max="7656" width="12.25" style="7" customWidth="1"/>
    <col min="7657" max="7657" width="8" style="7" customWidth="1"/>
    <col min="7658" max="7658" width="10.625" style="7" customWidth="1"/>
    <col min="7659" max="7659" width="8" style="7" customWidth="1"/>
    <col min="7660" max="7660" width="11.375" style="7" customWidth="1"/>
    <col min="7661" max="7661" width="11.5" style="7" customWidth="1"/>
    <col min="7662" max="7662" width="8" style="7" customWidth="1"/>
    <col min="7663" max="7663" width="11.25" style="7" customWidth="1"/>
    <col min="7664" max="7664" width="8" style="7" customWidth="1"/>
    <col min="7665" max="7665" width="10.875" style="7" customWidth="1"/>
    <col min="7666" max="7666" width="12.25" style="7" customWidth="1"/>
    <col min="7667" max="7667" width="8" style="7" customWidth="1"/>
    <col min="7668" max="7668" width="11.875" style="7" customWidth="1"/>
    <col min="7669" max="7669" width="8" style="7" customWidth="1"/>
    <col min="7670" max="7670" width="11" style="7" customWidth="1"/>
    <col min="7671" max="7671" width="12.25" style="7" customWidth="1"/>
    <col min="7672" max="7672" width="8" style="7" customWidth="1"/>
    <col min="7673" max="7673" width="11.875" style="7" customWidth="1"/>
    <col min="7674" max="7674" width="8" style="7" customWidth="1"/>
    <col min="7675" max="7675" width="12.25" style="7" customWidth="1"/>
    <col min="7676" max="7676" width="14.25" style="7" customWidth="1"/>
    <col min="7677" max="7677" width="8" style="7" customWidth="1"/>
    <col min="7678" max="7678" width="14" style="7" customWidth="1"/>
    <col min="7679" max="7679" width="8.875" style="7" customWidth="1"/>
    <col min="7680" max="7680" width="15.25" style="7" customWidth="1"/>
    <col min="7681" max="7681" width="16.375" style="7" customWidth="1"/>
    <col min="7682" max="7682" width="8.875" style="7" customWidth="1"/>
    <col min="7683" max="7683" width="9.625" style="7" customWidth="1"/>
    <col min="7684" max="7684" width="8.75" style="7" customWidth="1"/>
    <col min="7685" max="7685" width="12.375" style="7" customWidth="1"/>
    <col min="7686" max="7686" width="8.75" style="7" customWidth="1"/>
    <col min="7687" max="7687" width="11.5" style="7" customWidth="1"/>
    <col min="7688" max="7688" width="6.625" style="7" customWidth="1"/>
    <col min="7689" max="7689" width="11.25" style="7" customWidth="1"/>
    <col min="7690" max="7907" width="9" style="7" customWidth="1"/>
    <col min="7908" max="7908" width="9.625" style="7" customWidth="1"/>
    <col min="7909" max="7909" width="7.625" style="7" customWidth="1"/>
    <col min="7910" max="7910" width="18.5" style="7" customWidth="1"/>
    <col min="7911" max="7911" width="6.625" style="7" customWidth="1"/>
    <col min="7912" max="7912" width="12.25" style="7" customWidth="1"/>
    <col min="7913" max="7913" width="8" style="7" customWidth="1"/>
    <col min="7914" max="7914" width="10.625" style="7" customWidth="1"/>
    <col min="7915" max="7915" width="8" style="7" customWidth="1"/>
    <col min="7916" max="7916" width="11.375" style="7" customWidth="1"/>
    <col min="7917" max="7917" width="11.5" style="7" customWidth="1"/>
    <col min="7918" max="7918" width="8" style="7" customWidth="1"/>
    <col min="7919" max="7919" width="11.25" style="7" customWidth="1"/>
    <col min="7920" max="7920" width="8" style="7" customWidth="1"/>
    <col min="7921" max="7921" width="10.875" style="7" customWidth="1"/>
    <col min="7922" max="7922" width="12.25" style="7" customWidth="1"/>
    <col min="7923" max="7923" width="8" style="7" customWidth="1"/>
    <col min="7924" max="7924" width="11.875" style="7" customWidth="1"/>
    <col min="7925" max="7925" width="8" style="7" customWidth="1"/>
    <col min="7926" max="7926" width="11" style="7" customWidth="1"/>
    <col min="7927" max="7927" width="12.25" style="7" customWidth="1"/>
    <col min="7928" max="7928" width="8" style="7" customWidth="1"/>
    <col min="7929" max="7929" width="11.875" style="7" customWidth="1"/>
    <col min="7930" max="7930" width="8" style="7" customWidth="1"/>
    <col min="7931" max="7931" width="12.25" style="7" customWidth="1"/>
    <col min="7932" max="7932" width="14.25" style="7" customWidth="1"/>
    <col min="7933" max="7933" width="8" style="7" customWidth="1"/>
    <col min="7934" max="7934" width="14" style="7" customWidth="1"/>
    <col min="7935" max="7935" width="8.875" style="7" customWidth="1"/>
    <col min="7936" max="7936" width="15.25" style="7" customWidth="1"/>
    <col min="7937" max="7937" width="16.375" style="7" customWidth="1"/>
    <col min="7938" max="7938" width="8.875" style="7" customWidth="1"/>
    <col min="7939" max="7939" width="9.625" style="7" customWidth="1"/>
    <col min="7940" max="7940" width="8.75" style="7" customWidth="1"/>
    <col min="7941" max="7941" width="12.375" style="7" customWidth="1"/>
    <col min="7942" max="7942" width="8.75" style="7" customWidth="1"/>
    <col min="7943" max="7943" width="11.5" style="7" customWidth="1"/>
    <col min="7944" max="7944" width="6.625" style="7" customWidth="1"/>
    <col min="7945" max="7945" width="11.25" style="7" customWidth="1"/>
    <col min="7946" max="8163" width="9" style="7" customWidth="1"/>
    <col min="8164" max="8164" width="9.625" style="7" customWidth="1"/>
    <col min="8165" max="8165" width="7.625" style="7" customWidth="1"/>
    <col min="8166" max="8166" width="18.5" style="7" customWidth="1"/>
    <col min="8167" max="8167" width="6.625" style="7" customWidth="1"/>
    <col min="8168" max="8168" width="12.25" style="7" customWidth="1"/>
    <col min="8169" max="8169" width="8" style="7" customWidth="1"/>
    <col min="8170" max="8170" width="10.625" style="7" customWidth="1"/>
    <col min="8171" max="8171" width="8" style="7" customWidth="1"/>
    <col min="8172" max="8172" width="11.375" style="7" customWidth="1"/>
    <col min="8173" max="8173" width="11.5" style="7" customWidth="1"/>
    <col min="8174" max="8174" width="8" style="7" customWidth="1"/>
    <col min="8175" max="8175" width="11.25" style="7" customWidth="1"/>
    <col min="8176" max="8176" width="8" style="7" customWidth="1"/>
    <col min="8177" max="8177" width="10.875" style="7" customWidth="1"/>
    <col min="8178" max="8178" width="12.25" style="7" customWidth="1"/>
    <col min="8179" max="8179" width="8" style="7" customWidth="1"/>
    <col min="8180" max="8180" width="11.875" style="7" customWidth="1"/>
    <col min="8181" max="8181" width="8" style="7" customWidth="1"/>
    <col min="8182" max="8182" width="11" style="7" customWidth="1"/>
    <col min="8183" max="8183" width="12.25" style="7" customWidth="1"/>
    <col min="8184" max="8184" width="8" style="7" customWidth="1"/>
    <col min="8185" max="8185" width="11.875" style="7" customWidth="1"/>
    <col min="8186" max="8186" width="8" style="7" customWidth="1"/>
    <col min="8187" max="8187" width="12.25" style="7" customWidth="1"/>
    <col min="8188" max="8188" width="14.25" style="7" customWidth="1"/>
    <col min="8189" max="8189" width="8" style="7" customWidth="1"/>
    <col min="8190" max="8190" width="14" style="7" customWidth="1"/>
    <col min="8191" max="8191" width="8.875" style="7" customWidth="1"/>
    <col min="8192" max="8192" width="15.25" style="7" customWidth="1"/>
    <col min="8193" max="8193" width="16.375" style="7" customWidth="1"/>
    <col min="8194" max="8194" width="8.875" style="7" customWidth="1"/>
    <col min="8195" max="8195" width="9.625" style="7" customWidth="1"/>
    <col min="8196" max="8196" width="8.75" style="7" customWidth="1"/>
    <col min="8197" max="8197" width="12.375" style="7" customWidth="1"/>
    <col min="8198" max="8198" width="8.75" style="7" customWidth="1"/>
    <col min="8199" max="8199" width="11.5" style="7" customWidth="1"/>
    <col min="8200" max="8200" width="6.625" style="7" customWidth="1"/>
    <col min="8201" max="8201" width="11.25" style="7" customWidth="1"/>
    <col min="8202" max="8419" width="9" style="7" customWidth="1"/>
    <col min="8420" max="8420" width="9.625" style="7" customWidth="1"/>
    <col min="8421" max="8421" width="7.625" style="7" customWidth="1"/>
    <col min="8422" max="8422" width="18.5" style="7" customWidth="1"/>
    <col min="8423" max="8423" width="6.625" style="7" customWidth="1"/>
    <col min="8424" max="8424" width="12.25" style="7" customWidth="1"/>
    <col min="8425" max="8425" width="8" style="7" customWidth="1"/>
    <col min="8426" max="8426" width="10.625" style="7" customWidth="1"/>
    <col min="8427" max="8427" width="8" style="7" customWidth="1"/>
    <col min="8428" max="8428" width="11.375" style="7" customWidth="1"/>
    <col min="8429" max="8429" width="11.5" style="7" customWidth="1"/>
    <col min="8430" max="8430" width="8" style="7" customWidth="1"/>
    <col min="8431" max="8431" width="11.25" style="7" customWidth="1"/>
    <col min="8432" max="8432" width="8" style="7" customWidth="1"/>
    <col min="8433" max="8433" width="10.875" style="7" customWidth="1"/>
    <col min="8434" max="8434" width="12.25" style="7" customWidth="1"/>
    <col min="8435" max="8435" width="8" style="7" customWidth="1"/>
    <col min="8436" max="8436" width="11.875" style="7" customWidth="1"/>
    <col min="8437" max="8437" width="8" style="7" customWidth="1"/>
    <col min="8438" max="8438" width="11" style="7" customWidth="1"/>
    <col min="8439" max="8439" width="12.25" style="7" customWidth="1"/>
    <col min="8440" max="8440" width="8" style="7" customWidth="1"/>
    <col min="8441" max="8441" width="11.875" style="7" customWidth="1"/>
    <col min="8442" max="8442" width="8" style="7" customWidth="1"/>
    <col min="8443" max="8443" width="12.25" style="7" customWidth="1"/>
    <col min="8444" max="8444" width="14.25" style="7" customWidth="1"/>
    <col min="8445" max="8445" width="8" style="7" customWidth="1"/>
    <col min="8446" max="8446" width="14" style="7" customWidth="1"/>
    <col min="8447" max="8447" width="8.875" style="7" customWidth="1"/>
    <col min="8448" max="8448" width="15.25" style="7" customWidth="1"/>
    <col min="8449" max="8449" width="16.375" style="7" customWidth="1"/>
    <col min="8450" max="8450" width="8.875" style="7" customWidth="1"/>
    <col min="8451" max="8451" width="9.625" style="7" customWidth="1"/>
    <col min="8452" max="8452" width="8.75" style="7" customWidth="1"/>
    <col min="8453" max="8453" width="12.375" style="7" customWidth="1"/>
    <col min="8454" max="8454" width="8.75" style="7" customWidth="1"/>
    <col min="8455" max="8455" width="11.5" style="7" customWidth="1"/>
    <col min="8456" max="8456" width="6.625" style="7" customWidth="1"/>
    <col min="8457" max="8457" width="11.25" style="7" customWidth="1"/>
    <col min="8458" max="8675" width="9" style="7" customWidth="1"/>
    <col min="8676" max="8676" width="9.625" style="7" customWidth="1"/>
    <col min="8677" max="8677" width="7.625" style="7" customWidth="1"/>
    <col min="8678" max="8678" width="18.5" style="7" customWidth="1"/>
    <col min="8679" max="8679" width="6.625" style="7" customWidth="1"/>
    <col min="8680" max="8680" width="12.25" style="7" customWidth="1"/>
    <col min="8681" max="8681" width="8" style="7" customWidth="1"/>
    <col min="8682" max="8682" width="10.625" style="7" customWidth="1"/>
    <col min="8683" max="8683" width="8" style="7" customWidth="1"/>
    <col min="8684" max="8684" width="11.375" style="7" customWidth="1"/>
    <col min="8685" max="8685" width="11.5" style="7" customWidth="1"/>
    <col min="8686" max="8686" width="8" style="7" customWidth="1"/>
    <col min="8687" max="8687" width="11.25" style="7" customWidth="1"/>
    <col min="8688" max="8688" width="8" style="7" customWidth="1"/>
    <col min="8689" max="8689" width="10.875" style="7" customWidth="1"/>
    <col min="8690" max="8690" width="12.25" style="7" customWidth="1"/>
    <col min="8691" max="8691" width="8" style="7" customWidth="1"/>
    <col min="8692" max="8692" width="11.875" style="7" customWidth="1"/>
    <col min="8693" max="8693" width="8" style="7" customWidth="1"/>
    <col min="8694" max="8694" width="11" style="7" customWidth="1"/>
    <col min="8695" max="8695" width="12.25" style="7" customWidth="1"/>
    <col min="8696" max="8696" width="8" style="7" customWidth="1"/>
    <col min="8697" max="8697" width="11.875" style="7" customWidth="1"/>
    <col min="8698" max="8698" width="8" style="7" customWidth="1"/>
    <col min="8699" max="8699" width="12.25" style="7" customWidth="1"/>
    <col min="8700" max="8700" width="14.25" style="7" customWidth="1"/>
    <col min="8701" max="8701" width="8" style="7" customWidth="1"/>
    <col min="8702" max="8702" width="14" style="7" customWidth="1"/>
    <col min="8703" max="8703" width="8.875" style="7" customWidth="1"/>
    <col min="8704" max="8704" width="15.25" style="7" customWidth="1"/>
    <col min="8705" max="8705" width="16.375" style="7" customWidth="1"/>
    <col min="8706" max="8706" width="8.875" style="7" customWidth="1"/>
    <col min="8707" max="8707" width="9.625" style="7" customWidth="1"/>
    <col min="8708" max="8708" width="8.75" style="7" customWidth="1"/>
    <col min="8709" max="8709" width="12.375" style="7" customWidth="1"/>
    <col min="8710" max="8710" width="8.75" style="7" customWidth="1"/>
    <col min="8711" max="8711" width="11.5" style="7" customWidth="1"/>
    <col min="8712" max="8712" width="6.625" style="7" customWidth="1"/>
    <col min="8713" max="8713" width="11.25" style="7" customWidth="1"/>
    <col min="8714" max="8931" width="9" style="7" customWidth="1"/>
    <col min="8932" max="8932" width="9.625" style="7" customWidth="1"/>
    <col min="8933" max="8933" width="7.625" style="7" customWidth="1"/>
    <col min="8934" max="8934" width="18.5" style="7" customWidth="1"/>
    <col min="8935" max="8935" width="6.625" style="7" customWidth="1"/>
    <col min="8936" max="8936" width="12.25" style="7" customWidth="1"/>
    <col min="8937" max="8937" width="8" style="7" customWidth="1"/>
    <col min="8938" max="8938" width="10.625" style="7" customWidth="1"/>
    <col min="8939" max="8939" width="8" style="7" customWidth="1"/>
    <col min="8940" max="8940" width="11.375" style="7" customWidth="1"/>
    <col min="8941" max="8941" width="11.5" style="7" customWidth="1"/>
    <col min="8942" max="8942" width="8" style="7" customWidth="1"/>
    <col min="8943" max="8943" width="11.25" style="7" customWidth="1"/>
    <col min="8944" max="8944" width="8" style="7" customWidth="1"/>
    <col min="8945" max="8945" width="10.875" style="7" customWidth="1"/>
    <col min="8946" max="8946" width="12.25" style="7" customWidth="1"/>
    <col min="8947" max="8947" width="8" style="7" customWidth="1"/>
    <col min="8948" max="8948" width="11.875" style="7" customWidth="1"/>
    <col min="8949" max="8949" width="8" style="7" customWidth="1"/>
    <col min="8950" max="8950" width="11" style="7" customWidth="1"/>
    <col min="8951" max="8951" width="12.25" style="7" customWidth="1"/>
    <col min="8952" max="8952" width="8" style="7" customWidth="1"/>
    <col min="8953" max="8953" width="11.875" style="7" customWidth="1"/>
    <col min="8954" max="8954" width="8" style="7" customWidth="1"/>
    <col min="8955" max="8955" width="12.25" style="7" customWidth="1"/>
    <col min="8956" max="8956" width="14.25" style="7" customWidth="1"/>
    <col min="8957" max="8957" width="8" style="7" customWidth="1"/>
    <col min="8958" max="8958" width="14" style="7" customWidth="1"/>
    <col min="8959" max="8959" width="8.875" style="7" customWidth="1"/>
    <col min="8960" max="8960" width="15.25" style="7" customWidth="1"/>
    <col min="8961" max="8961" width="16.375" style="7" customWidth="1"/>
    <col min="8962" max="8962" width="8.875" style="7" customWidth="1"/>
    <col min="8963" max="8963" width="9.625" style="7" customWidth="1"/>
    <col min="8964" max="8964" width="8.75" style="7" customWidth="1"/>
    <col min="8965" max="8965" width="12.375" style="7" customWidth="1"/>
    <col min="8966" max="8966" width="8.75" style="7" customWidth="1"/>
    <col min="8967" max="8967" width="11.5" style="7" customWidth="1"/>
    <col min="8968" max="8968" width="6.625" style="7" customWidth="1"/>
    <col min="8969" max="8969" width="11.25" style="7" customWidth="1"/>
    <col min="8970" max="9187" width="9" style="7" customWidth="1"/>
    <col min="9188" max="9188" width="9.625" style="7" customWidth="1"/>
    <col min="9189" max="9189" width="7.625" style="7" customWidth="1"/>
    <col min="9190" max="9190" width="18.5" style="7" customWidth="1"/>
    <col min="9191" max="9191" width="6.625" style="7" customWidth="1"/>
    <col min="9192" max="9192" width="12.25" style="7" customWidth="1"/>
    <col min="9193" max="9193" width="8" style="7" customWidth="1"/>
    <col min="9194" max="9194" width="10.625" style="7" customWidth="1"/>
    <col min="9195" max="9195" width="8" style="7" customWidth="1"/>
    <col min="9196" max="9196" width="11.375" style="7" customWidth="1"/>
    <col min="9197" max="9197" width="11.5" style="7" customWidth="1"/>
    <col min="9198" max="9198" width="8" style="7" customWidth="1"/>
    <col min="9199" max="9199" width="11.25" style="7" customWidth="1"/>
    <col min="9200" max="9200" width="8" style="7" customWidth="1"/>
    <col min="9201" max="9201" width="10.875" style="7" customWidth="1"/>
    <col min="9202" max="9202" width="12.25" style="7" customWidth="1"/>
    <col min="9203" max="9203" width="8" style="7" customWidth="1"/>
    <col min="9204" max="9204" width="11.875" style="7" customWidth="1"/>
    <col min="9205" max="9205" width="8" style="7" customWidth="1"/>
    <col min="9206" max="9206" width="11" style="7" customWidth="1"/>
    <col min="9207" max="9207" width="12.25" style="7" customWidth="1"/>
    <col min="9208" max="9208" width="8" style="7" customWidth="1"/>
    <col min="9209" max="9209" width="11.875" style="7" customWidth="1"/>
    <col min="9210" max="9210" width="8" style="7" customWidth="1"/>
    <col min="9211" max="9211" width="12.25" style="7" customWidth="1"/>
    <col min="9212" max="9212" width="14.25" style="7" customWidth="1"/>
    <col min="9213" max="9213" width="8" style="7" customWidth="1"/>
    <col min="9214" max="9214" width="14" style="7" customWidth="1"/>
    <col min="9215" max="9215" width="8.875" style="7" customWidth="1"/>
    <col min="9216" max="9216" width="15.25" style="7" customWidth="1"/>
    <col min="9217" max="9217" width="16.375" style="7" customWidth="1"/>
    <col min="9218" max="9218" width="8.875" style="7" customWidth="1"/>
    <col min="9219" max="9219" width="9.625" style="7" customWidth="1"/>
    <col min="9220" max="9220" width="8.75" style="7" customWidth="1"/>
    <col min="9221" max="9221" width="12.375" style="7" customWidth="1"/>
    <col min="9222" max="9222" width="8.75" style="7" customWidth="1"/>
    <col min="9223" max="9223" width="11.5" style="7" customWidth="1"/>
    <col min="9224" max="9224" width="6.625" style="7" customWidth="1"/>
    <col min="9225" max="9225" width="11.25" style="7" customWidth="1"/>
    <col min="9226" max="9443" width="9" style="7" customWidth="1"/>
    <col min="9444" max="9444" width="9.625" style="7" customWidth="1"/>
    <col min="9445" max="9445" width="7.625" style="7" customWidth="1"/>
    <col min="9446" max="9446" width="18.5" style="7" customWidth="1"/>
    <col min="9447" max="9447" width="6.625" style="7" customWidth="1"/>
    <col min="9448" max="9448" width="12.25" style="7" customWidth="1"/>
    <col min="9449" max="9449" width="8" style="7" customWidth="1"/>
    <col min="9450" max="9450" width="10.625" style="7" customWidth="1"/>
    <col min="9451" max="9451" width="8" style="7" customWidth="1"/>
    <col min="9452" max="9452" width="11.375" style="7" customWidth="1"/>
    <col min="9453" max="9453" width="11.5" style="7" customWidth="1"/>
    <col min="9454" max="9454" width="8" style="7" customWidth="1"/>
    <col min="9455" max="9455" width="11.25" style="7" customWidth="1"/>
    <col min="9456" max="9456" width="8" style="7" customWidth="1"/>
    <col min="9457" max="9457" width="10.875" style="7" customWidth="1"/>
    <col min="9458" max="9458" width="12.25" style="7" customWidth="1"/>
    <col min="9459" max="9459" width="8" style="7" customWidth="1"/>
    <col min="9460" max="9460" width="11.875" style="7" customWidth="1"/>
    <col min="9461" max="9461" width="8" style="7" customWidth="1"/>
    <col min="9462" max="9462" width="11" style="7" customWidth="1"/>
    <col min="9463" max="9463" width="12.25" style="7" customWidth="1"/>
    <col min="9464" max="9464" width="8" style="7" customWidth="1"/>
    <col min="9465" max="9465" width="11.875" style="7" customWidth="1"/>
    <col min="9466" max="9466" width="8" style="7" customWidth="1"/>
    <col min="9467" max="9467" width="12.25" style="7" customWidth="1"/>
    <col min="9468" max="9468" width="14.25" style="7" customWidth="1"/>
    <col min="9469" max="9469" width="8" style="7" customWidth="1"/>
    <col min="9470" max="9470" width="14" style="7" customWidth="1"/>
    <col min="9471" max="9471" width="8.875" style="7" customWidth="1"/>
    <col min="9472" max="9472" width="15.25" style="7" customWidth="1"/>
    <col min="9473" max="9473" width="16.375" style="7" customWidth="1"/>
    <col min="9474" max="9474" width="8.875" style="7" customWidth="1"/>
    <col min="9475" max="9475" width="9.625" style="7" customWidth="1"/>
    <col min="9476" max="9476" width="8.75" style="7" customWidth="1"/>
    <col min="9477" max="9477" width="12.375" style="7" customWidth="1"/>
    <col min="9478" max="9478" width="8.75" style="7" customWidth="1"/>
    <col min="9479" max="9479" width="11.5" style="7" customWidth="1"/>
    <col min="9480" max="9480" width="6.625" style="7" customWidth="1"/>
    <col min="9481" max="9481" width="11.25" style="7" customWidth="1"/>
    <col min="9482" max="9699" width="9" style="7" customWidth="1"/>
    <col min="9700" max="9700" width="9.625" style="7" customWidth="1"/>
    <col min="9701" max="9701" width="7.625" style="7" customWidth="1"/>
    <col min="9702" max="9702" width="18.5" style="7" customWidth="1"/>
    <col min="9703" max="9703" width="6.625" style="7" customWidth="1"/>
    <col min="9704" max="9704" width="12.25" style="7" customWidth="1"/>
    <col min="9705" max="9705" width="8" style="7" customWidth="1"/>
    <col min="9706" max="9706" width="10.625" style="7" customWidth="1"/>
    <col min="9707" max="9707" width="8" style="7" customWidth="1"/>
    <col min="9708" max="9708" width="11.375" style="7" customWidth="1"/>
    <col min="9709" max="9709" width="11.5" style="7" customWidth="1"/>
    <col min="9710" max="9710" width="8" style="7" customWidth="1"/>
    <col min="9711" max="9711" width="11.25" style="7" customWidth="1"/>
    <col min="9712" max="9712" width="8" style="7" customWidth="1"/>
    <col min="9713" max="9713" width="10.875" style="7" customWidth="1"/>
    <col min="9714" max="9714" width="12.25" style="7" customWidth="1"/>
    <col min="9715" max="9715" width="8" style="7" customWidth="1"/>
    <col min="9716" max="9716" width="11.875" style="7" customWidth="1"/>
    <col min="9717" max="9717" width="8" style="7" customWidth="1"/>
    <col min="9718" max="9718" width="11" style="7" customWidth="1"/>
    <col min="9719" max="9719" width="12.25" style="7" customWidth="1"/>
    <col min="9720" max="9720" width="8" style="7" customWidth="1"/>
    <col min="9721" max="9721" width="11.875" style="7" customWidth="1"/>
    <col min="9722" max="9722" width="8" style="7" customWidth="1"/>
    <col min="9723" max="9723" width="12.25" style="7" customWidth="1"/>
    <col min="9724" max="9724" width="14.25" style="7" customWidth="1"/>
    <col min="9725" max="9725" width="8" style="7" customWidth="1"/>
    <col min="9726" max="9726" width="14" style="7" customWidth="1"/>
    <col min="9727" max="9727" width="8.875" style="7" customWidth="1"/>
    <col min="9728" max="9728" width="15.25" style="7" customWidth="1"/>
    <col min="9729" max="9729" width="16.375" style="7" customWidth="1"/>
    <col min="9730" max="9730" width="8.875" style="7" customWidth="1"/>
    <col min="9731" max="9731" width="9.625" style="7" customWidth="1"/>
    <col min="9732" max="9732" width="8.75" style="7" customWidth="1"/>
    <col min="9733" max="9733" width="12.375" style="7" customWidth="1"/>
    <col min="9734" max="9734" width="8.75" style="7" customWidth="1"/>
    <col min="9735" max="9735" width="11.5" style="7" customWidth="1"/>
    <col min="9736" max="9736" width="6.625" style="7" customWidth="1"/>
    <col min="9737" max="9737" width="11.25" style="7" customWidth="1"/>
    <col min="9738" max="9955" width="9" style="7" customWidth="1"/>
    <col min="9956" max="9956" width="9.625" style="7" customWidth="1"/>
    <col min="9957" max="9957" width="7.625" style="7" customWidth="1"/>
    <col min="9958" max="9958" width="18.5" style="7" customWidth="1"/>
    <col min="9959" max="9959" width="6.625" style="7" customWidth="1"/>
    <col min="9960" max="9960" width="12.25" style="7" customWidth="1"/>
    <col min="9961" max="9961" width="8" style="7" customWidth="1"/>
    <col min="9962" max="9962" width="10.625" style="7" customWidth="1"/>
    <col min="9963" max="9963" width="8" style="7" customWidth="1"/>
    <col min="9964" max="9964" width="11.375" style="7" customWidth="1"/>
    <col min="9965" max="9965" width="11.5" style="7" customWidth="1"/>
    <col min="9966" max="9966" width="8" style="7" customWidth="1"/>
    <col min="9967" max="9967" width="11.25" style="7" customWidth="1"/>
    <col min="9968" max="9968" width="8" style="7" customWidth="1"/>
    <col min="9969" max="9969" width="10.875" style="7" customWidth="1"/>
    <col min="9970" max="9970" width="12.25" style="7" customWidth="1"/>
    <col min="9971" max="9971" width="8" style="7" customWidth="1"/>
    <col min="9972" max="9972" width="11.875" style="7" customWidth="1"/>
    <col min="9973" max="9973" width="8" style="7" customWidth="1"/>
    <col min="9974" max="9974" width="11" style="7" customWidth="1"/>
    <col min="9975" max="9975" width="12.25" style="7" customWidth="1"/>
    <col min="9976" max="9976" width="8" style="7" customWidth="1"/>
    <col min="9977" max="9977" width="11.875" style="7" customWidth="1"/>
    <col min="9978" max="9978" width="8" style="7" customWidth="1"/>
    <col min="9979" max="9979" width="12.25" style="7" customWidth="1"/>
    <col min="9980" max="9980" width="14.25" style="7" customWidth="1"/>
    <col min="9981" max="9981" width="8" style="7" customWidth="1"/>
    <col min="9982" max="9982" width="14" style="7" customWidth="1"/>
    <col min="9983" max="9983" width="8.875" style="7" customWidth="1"/>
    <col min="9984" max="9984" width="15.25" style="7" customWidth="1"/>
    <col min="9985" max="9985" width="16.375" style="7" customWidth="1"/>
    <col min="9986" max="9986" width="8.875" style="7" customWidth="1"/>
    <col min="9987" max="9987" width="9.625" style="7" customWidth="1"/>
    <col min="9988" max="9988" width="8.75" style="7" customWidth="1"/>
    <col min="9989" max="9989" width="12.375" style="7" customWidth="1"/>
    <col min="9990" max="9990" width="8.75" style="7" customWidth="1"/>
    <col min="9991" max="9991" width="11.5" style="7" customWidth="1"/>
    <col min="9992" max="9992" width="6.625" style="7" customWidth="1"/>
    <col min="9993" max="9993" width="11.25" style="7" customWidth="1"/>
    <col min="9994" max="10211" width="9" style="7" customWidth="1"/>
    <col min="10212" max="10212" width="9.625" style="7" customWidth="1"/>
    <col min="10213" max="10213" width="7.625" style="7" customWidth="1"/>
    <col min="10214" max="10214" width="18.5" style="7" customWidth="1"/>
    <col min="10215" max="10215" width="6.625" style="7" customWidth="1"/>
    <col min="10216" max="10216" width="12.25" style="7" customWidth="1"/>
    <col min="10217" max="10217" width="8" style="7" customWidth="1"/>
    <col min="10218" max="10218" width="10.625" style="7" customWidth="1"/>
    <col min="10219" max="10219" width="8" style="7" customWidth="1"/>
    <col min="10220" max="10220" width="11.375" style="7" customWidth="1"/>
    <col min="10221" max="10221" width="11.5" style="7" customWidth="1"/>
    <col min="10222" max="10222" width="8" style="7" customWidth="1"/>
    <col min="10223" max="10223" width="11.25" style="7" customWidth="1"/>
    <col min="10224" max="10224" width="8" style="7" customWidth="1"/>
    <col min="10225" max="10225" width="10.875" style="7" customWidth="1"/>
    <col min="10226" max="10226" width="12.25" style="7" customWidth="1"/>
    <col min="10227" max="10227" width="8" style="7" customWidth="1"/>
    <col min="10228" max="10228" width="11.875" style="7" customWidth="1"/>
    <col min="10229" max="10229" width="8" style="7" customWidth="1"/>
    <col min="10230" max="10230" width="11" style="7" customWidth="1"/>
    <col min="10231" max="10231" width="12.25" style="7" customWidth="1"/>
    <col min="10232" max="10232" width="8" style="7" customWidth="1"/>
    <col min="10233" max="10233" width="11.875" style="7" customWidth="1"/>
    <col min="10234" max="10234" width="8" style="7" customWidth="1"/>
    <col min="10235" max="10235" width="12.25" style="7" customWidth="1"/>
    <col min="10236" max="10236" width="14.25" style="7" customWidth="1"/>
    <col min="10237" max="10237" width="8" style="7" customWidth="1"/>
    <col min="10238" max="10238" width="14" style="7" customWidth="1"/>
    <col min="10239" max="10239" width="8.875" style="7" customWidth="1"/>
    <col min="10240" max="10240" width="15.25" style="7" customWidth="1"/>
    <col min="10241" max="10241" width="16.375" style="7" customWidth="1"/>
    <col min="10242" max="10242" width="8.875" style="7" customWidth="1"/>
    <col min="10243" max="10243" width="9.625" style="7" customWidth="1"/>
    <col min="10244" max="10244" width="8.75" style="7" customWidth="1"/>
    <col min="10245" max="10245" width="12.375" style="7" customWidth="1"/>
    <col min="10246" max="10246" width="8.75" style="7" customWidth="1"/>
    <col min="10247" max="10247" width="11.5" style="7" customWidth="1"/>
    <col min="10248" max="10248" width="6.625" style="7" customWidth="1"/>
    <col min="10249" max="10249" width="11.25" style="7" customWidth="1"/>
    <col min="10250" max="10467" width="9" style="7" customWidth="1"/>
    <col min="10468" max="10468" width="9.625" style="7" customWidth="1"/>
    <col min="10469" max="10469" width="7.625" style="7" customWidth="1"/>
    <col min="10470" max="10470" width="18.5" style="7" customWidth="1"/>
    <col min="10471" max="10471" width="6.625" style="7" customWidth="1"/>
    <col min="10472" max="10472" width="12.25" style="7" customWidth="1"/>
    <col min="10473" max="10473" width="8" style="7" customWidth="1"/>
    <col min="10474" max="10474" width="10.625" style="7" customWidth="1"/>
    <col min="10475" max="10475" width="8" style="7" customWidth="1"/>
    <col min="10476" max="10476" width="11.375" style="7" customWidth="1"/>
    <col min="10477" max="10477" width="11.5" style="7" customWidth="1"/>
    <col min="10478" max="10478" width="8" style="7" customWidth="1"/>
    <col min="10479" max="10479" width="11.25" style="7" customWidth="1"/>
    <col min="10480" max="10480" width="8" style="7" customWidth="1"/>
    <col min="10481" max="10481" width="10.875" style="7" customWidth="1"/>
    <col min="10482" max="10482" width="12.25" style="7" customWidth="1"/>
    <col min="10483" max="10483" width="8" style="7" customWidth="1"/>
    <col min="10484" max="10484" width="11.875" style="7" customWidth="1"/>
    <col min="10485" max="10485" width="8" style="7" customWidth="1"/>
    <col min="10486" max="10486" width="11" style="7" customWidth="1"/>
    <col min="10487" max="10487" width="12.25" style="7" customWidth="1"/>
    <col min="10488" max="10488" width="8" style="7" customWidth="1"/>
    <col min="10489" max="10489" width="11.875" style="7" customWidth="1"/>
    <col min="10490" max="10490" width="8" style="7" customWidth="1"/>
    <col min="10491" max="10491" width="12.25" style="7" customWidth="1"/>
    <col min="10492" max="10492" width="14.25" style="7" customWidth="1"/>
    <col min="10493" max="10493" width="8" style="7" customWidth="1"/>
    <col min="10494" max="10494" width="14" style="7" customWidth="1"/>
    <col min="10495" max="10495" width="8.875" style="7" customWidth="1"/>
    <col min="10496" max="10496" width="15.25" style="7" customWidth="1"/>
    <col min="10497" max="10497" width="16.375" style="7" customWidth="1"/>
    <col min="10498" max="10498" width="8.875" style="7" customWidth="1"/>
    <col min="10499" max="10499" width="9.625" style="7" customWidth="1"/>
    <col min="10500" max="10500" width="8.75" style="7" customWidth="1"/>
    <col min="10501" max="10501" width="12.375" style="7" customWidth="1"/>
    <col min="10502" max="10502" width="8.75" style="7" customWidth="1"/>
    <col min="10503" max="10503" width="11.5" style="7" customWidth="1"/>
    <col min="10504" max="10504" width="6.625" style="7" customWidth="1"/>
    <col min="10505" max="10505" width="11.25" style="7" customWidth="1"/>
    <col min="10506" max="10723" width="9" style="7" customWidth="1"/>
    <col min="10724" max="10724" width="9.625" style="7" customWidth="1"/>
    <col min="10725" max="10725" width="7.625" style="7" customWidth="1"/>
    <col min="10726" max="10726" width="18.5" style="7" customWidth="1"/>
    <col min="10727" max="10727" width="6.625" style="7" customWidth="1"/>
    <col min="10728" max="10728" width="12.25" style="7" customWidth="1"/>
    <col min="10729" max="10729" width="8" style="7" customWidth="1"/>
    <col min="10730" max="10730" width="10.625" style="7" customWidth="1"/>
    <col min="10731" max="10731" width="8" style="7" customWidth="1"/>
    <col min="10732" max="10732" width="11.375" style="7" customWidth="1"/>
    <col min="10733" max="10733" width="11.5" style="7" customWidth="1"/>
    <col min="10734" max="10734" width="8" style="7" customWidth="1"/>
    <col min="10735" max="10735" width="11.25" style="7" customWidth="1"/>
    <col min="10736" max="10736" width="8" style="7" customWidth="1"/>
    <col min="10737" max="10737" width="10.875" style="7" customWidth="1"/>
    <col min="10738" max="10738" width="12.25" style="7" customWidth="1"/>
    <col min="10739" max="10739" width="8" style="7" customWidth="1"/>
    <col min="10740" max="10740" width="11.875" style="7" customWidth="1"/>
    <col min="10741" max="10741" width="8" style="7" customWidth="1"/>
    <col min="10742" max="10742" width="11" style="7" customWidth="1"/>
    <col min="10743" max="10743" width="12.25" style="7" customWidth="1"/>
    <col min="10744" max="10744" width="8" style="7" customWidth="1"/>
    <col min="10745" max="10745" width="11.875" style="7" customWidth="1"/>
    <col min="10746" max="10746" width="8" style="7" customWidth="1"/>
    <col min="10747" max="10747" width="12.25" style="7" customWidth="1"/>
    <col min="10748" max="10748" width="14.25" style="7" customWidth="1"/>
    <col min="10749" max="10749" width="8" style="7" customWidth="1"/>
    <col min="10750" max="10750" width="14" style="7" customWidth="1"/>
    <col min="10751" max="10751" width="8.875" style="7" customWidth="1"/>
    <col min="10752" max="10752" width="15.25" style="7" customWidth="1"/>
    <col min="10753" max="10753" width="16.375" style="7" customWidth="1"/>
    <col min="10754" max="10754" width="8.875" style="7" customWidth="1"/>
    <col min="10755" max="10755" width="9.625" style="7" customWidth="1"/>
    <col min="10756" max="10756" width="8.75" style="7" customWidth="1"/>
    <col min="10757" max="10757" width="12.375" style="7" customWidth="1"/>
    <col min="10758" max="10758" width="8.75" style="7" customWidth="1"/>
    <col min="10759" max="10759" width="11.5" style="7" customWidth="1"/>
    <col min="10760" max="10760" width="6.625" style="7" customWidth="1"/>
    <col min="10761" max="10761" width="11.25" style="7" customWidth="1"/>
    <col min="10762" max="10979" width="9" style="7" customWidth="1"/>
    <col min="10980" max="10980" width="9.625" style="7" customWidth="1"/>
    <col min="10981" max="10981" width="7.625" style="7" customWidth="1"/>
    <col min="10982" max="10982" width="18.5" style="7" customWidth="1"/>
    <col min="10983" max="10983" width="6.625" style="7" customWidth="1"/>
    <col min="10984" max="10984" width="12.25" style="7" customWidth="1"/>
    <col min="10985" max="10985" width="8" style="7" customWidth="1"/>
    <col min="10986" max="10986" width="10.625" style="7" customWidth="1"/>
    <col min="10987" max="10987" width="8" style="7" customWidth="1"/>
    <col min="10988" max="10988" width="11.375" style="7" customWidth="1"/>
    <col min="10989" max="10989" width="11.5" style="7" customWidth="1"/>
    <col min="10990" max="10990" width="8" style="7" customWidth="1"/>
    <col min="10991" max="10991" width="11.25" style="7" customWidth="1"/>
    <col min="10992" max="10992" width="8" style="7" customWidth="1"/>
    <col min="10993" max="10993" width="10.875" style="7" customWidth="1"/>
    <col min="10994" max="10994" width="12.25" style="7" customWidth="1"/>
    <col min="10995" max="10995" width="8" style="7" customWidth="1"/>
    <col min="10996" max="10996" width="11.875" style="7" customWidth="1"/>
    <col min="10997" max="10997" width="8" style="7" customWidth="1"/>
    <col min="10998" max="10998" width="11" style="7" customWidth="1"/>
    <col min="10999" max="10999" width="12.25" style="7" customWidth="1"/>
    <col min="11000" max="11000" width="8" style="7" customWidth="1"/>
    <col min="11001" max="11001" width="11.875" style="7" customWidth="1"/>
    <col min="11002" max="11002" width="8" style="7" customWidth="1"/>
    <col min="11003" max="11003" width="12.25" style="7" customWidth="1"/>
    <col min="11004" max="11004" width="14.25" style="7" customWidth="1"/>
    <col min="11005" max="11005" width="8" style="7" customWidth="1"/>
    <col min="11006" max="11006" width="14" style="7" customWidth="1"/>
    <col min="11007" max="11007" width="8.875" style="7" customWidth="1"/>
    <col min="11008" max="11008" width="15.25" style="7" customWidth="1"/>
    <col min="11009" max="11009" width="16.375" style="7" customWidth="1"/>
    <col min="11010" max="11010" width="8.875" style="7" customWidth="1"/>
    <col min="11011" max="11011" width="9.625" style="7" customWidth="1"/>
    <col min="11012" max="11012" width="8.75" style="7" customWidth="1"/>
    <col min="11013" max="11013" width="12.375" style="7" customWidth="1"/>
    <col min="11014" max="11014" width="8.75" style="7" customWidth="1"/>
    <col min="11015" max="11015" width="11.5" style="7" customWidth="1"/>
    <col min="11016" max="11016" width="6.625" style="7" customWidth="1"/>
    <col min="11017" max="11017" width="11.25" style="7" customWidth="1"/>
    <col min="11018" max="11235" width="9" style="7" customWidth="1"/>
    <col min="11236" max="11236" width="9.625" style="7" customWidth="1"/>
    <col min="11237" max="11237" width="7.625" style="7" customWidth="1"/>
    <col min="11238" max="11238" width="18.5" style="7" customWidth="1"/>
    <col min="11239" max="11239" width="6.625" style="7" customWidth="1"/>
    <col min="11240" max="11240" width="12.25" style="7" customWidth="1"/>
    <col min="11241" max="11241" width="8" style="7" customWidth="1"/>
    <col min="11242" max="11242" width="10.625" style="7" customWidth="1"/>
    <col min="11243" max="11243" width="8" style="7" customWidth="1"/>
    <col min="11244" max="11244" width="11.375" style="7" customWidth="1"/>
    <col min="11245" max="11245" width="11.5" style="7" customWidth="1"/>
    <col min="11246" max="11246" width="8" style="7" customWidth="1"/>
    <col min="11247" max="11247" width="11.25" style="7" customWidth="1"/>
    <col min="11248" max="11248" width="8" style="7" customWidth="1"/>
    <col min="11249" max="11249" width="10.875" style="7" customWidth="1"/>
    <col min="11250" max="11250" width="12.25" style="7" customWidth="1"/>
    <col min="11251" max="11251" width="8" style="7" customWidth="1"/>
    <col min="11252" max="11252" width="11.875" style="7" customWidth="1"/>
    <col min="11253" max="11253" width="8" style="7" customWidth="1"/>
    <col min="11254" max="11254" width="11" style="7" customWidth="1"/>
    <col min="11255" max="11255" width="12.25" style="7" customWidth="1"/>
    <col min="11256" max="11256" width="8" style="7" customWidth="1"/>
    <col min="11257" max="11257" width="11.875" style="7" customWidth="1"/>
    <col min="11258" max="11258" width="8" style="7" customWidth="1"/>
    <col min="11259" max="11259" width="12.25" style="7" customWidth="1"/>
    <col min="11260" max="11260" width="14.25" style="7" customWidth="1"/>
    <col min="11261" max="11261" width="8" style="7" customWidth="1"/>
    <col min="11262" max="11262" width="14" style="7" customWidth="1"/>
    <col min="11263" max="11263" width="8.875" style="7" customWidth="1"/>
    <col min="11264" max="11264" width="15.25" style="7" customWidth="1"/>
    <col min="11265" max="11265" width="16.375" style="7" customWidth="1"/>
    <col min="11266" max="11266" width="8.875" style="7" customWidth="1"/>
    <col min="11267" max="11267" width="9.625" style="7" customWidth="1"/>
    <col min="11268" max="11268" width="8.75" style="7" customWidth="1"/>
    <col min="11269" max="11269" width="12.375" style="7" customWidth="1"/>
    <col min="11270" max="11270" width="8.75" style="7" customWidth="1"/>
    <col min="11271" max="11271" width="11.5" style="7" customWidth="1"/>
    <col min="11272" max="11272" width="6.625" style="7" customWidth="1"/>
    <col min="11273" max="11273" width="11.25" style="7" customWidth="1"/>
    <col min="11274" max="11491" width="9" style="7" customWidth="1"/>
    <col min="11492" max="11492" width="9.625" style="7" customWidth="1"/>
    <col min="11493" max="11493" width="7.625" style="7" customWidth="1"/>
    <col min="11494" max="11494" width="18.5" style="7" customWidth="1"/>
    <col min="11495" max="11495" width="6.625" style="7" customWidth="1"/>
    <col min="11496" max="11496" width="12.25" style="7" customWidth="1"/>
    <col min="11497" max="11497" width="8" style="7" customWidth="1"/>
    <col min="11498" max="11498" width="10.625" style="7" customWidth="1"/>
    <col min="11499" max="11499" width="8" style="7" customWidth="1"/>
    <col min="11500" max="11500" width="11.375" style="7" customWidth="1"/>
    <col min="11501" max="11501" width="11.5" style="7" customWidth="1"/>
    <col min="11502" max="11502" width="8" style="7" customWidth="1"/>
    <col min="11503" max="11503" width="11.25" style="7" customWidth="1"/>
    <col min="11504" max="11504" width="8" style="7" customWidth="1"/>
    <col min="11505" max="11505" width="10.875" style="7" customWidth="1"/>
    <col min="11506" max="11506" width="12.25" style="7" customWidth="1"/>
    <col min="11507" max="11507" width="8" style="7" customWidth="1"/>
    <col min="11508" max="11508" width="11.875" style="7" customWidth="1"/>
    <col min="11509" max="11509" width="8" style="7" customWidth="1"/>
    <col min="11510" max="11510" width="11" style="7" customWidth="1"/>
    <col min="11511" max="11511" width="12.25" style="7" customWidth="1"/>
    <col min="11512" max="11512" width="8" style="7" customWidth="1"/>
    <col min="11513" max="11513" width="11.875" style="7" customWidth="1"/>
    <col min="11514" max="11514" width="8" style="7" customWidth="1"/>
    <col min="11515" max="11515" width="12.25" style="7" customWidth="1"/>
    <col min="11516" max="11516" width="14.25" style="7" customWidth="1"/>
    <col min="11517" max="11517" width="8" style="7" customWidth="1"/>
    <col min="11518" max="11518" width="14" style="7" customWidth="1"/>
    <col min="11519" max="11519" width="8.875" style="7" customWidth="1"/>
    <col min="11520" max="11520" width="15.25" style="7" customWidth="1"/>
    <col min="11521" max="11521" width="16.375" style="7" customWidth="1"/>
    <col min="11522" max="11522" width="8.875" style="7" customWidth="1"/>
    <col min="11523" max="11523" width="9.625" style="7" customWidth="1"/>
    <col min="11524" max="11524" width="8.75" style="7" customWidth="1"/>
    <col min="11525" max="11525" width="12.375" style="7" customWidth="1"/>
    <col min="11526" max="11526" width="8.75" style="7" customWidth="1"/>
    <col min="11527" max="11527" width="11.5" style="7" customWidth="1"/>
    <col min="11528" max="11528" width="6.625" style="7" customWidth="1"/>
    <col min="11529" max="11529" width="11.25" style="7" customWidth="1"/>
    <col min="11530" max="11747" width="9" style="7" customWidth="1"/>
    <col min="11748" max="11748" width="9.625" style="7" customWidth="1"/>
    <col min="11749" max="11749" width="7.625" style="7" customWidth="1"/>
    <col min="11750" max="11750" width="18.5" style="7" customWidth="1"/>
    <col min="11751" max="11751" width="6.625" style="7" customWidth="1"/>
    <col min="11752" max="11752" width="12.25" style="7" customWidth="1"/>
    <col min="11753" max="11753" width="8" style="7" customWidth="1"/>
    <col min="11754" max="11754" width="10.625" style="7" customWidth="1"/>
    <col min="11755" max="11755" width="8" style="7" customWidth="1"/>
    <col min="11756" max="11756" width="11.375" style="7" customWidth="1"/>
    <col min="11757" max="11757" width="11.5" style="7" customWidth="1"/>
    <col min="11758" max="11758" width="8" style="7" customWidth="1"/>
    <col min="11759" max="11759" width="11.25" style="7" customWidth="1"/>
    <col min="11760" max="11760" width="8" style="7" customWidth="1"/>
    <col min="11761" max="11761" width="10.875" style="7" customWidth="1"/>
    <col min="11762" max="11762" width="12.25" style="7" customWidth="1"/>
    <col min="11763" max="11763" width="8" style="7" customWidth="1"/>
    <col min="11764" max="11764" width="11.875" style="7" customWidth="1"/>
    <col min="11765" max="11765" width="8" style="7" customWidth="1"/>
    <col min="11766" max="11766" width="11" style="7" customWidth="1"/>
    <col min="11767" max="11767" width="12.25" style="7" customWidth="1"/>
    <col min="11768" max="11768" width="8" style="7" customWidth="1"/>
    <col min="11769" max="11769" width="11.875" style="7" customWidth="1"/>
    <col min="11770" max="11770" width="8" style="7" customWidth="1"/>
    <col min="11771" max="11771" width="12.25" style="7" customWidth="1"/>
    <col min="11772" max="11772" width="14.25" style="7" customWidth="1"/>
    <col min="11773" max="11773" width="8" style="7" customWidth="1"/>
    <col min="11774" max="11774" width="14" style="7" customWidth="1"/>
    <col min="11775" max="11775" width="8.875" style="7" customWidth="1"/>
    <col min="11776" max="11776" width="15.25" style="7" customWidth="1"/>
    <col min="11777" max="11777" width="16.375" style="7" customWidth="1"/>
    <col min="11778" max="11778" width="8.875" style="7" customWidth="1"/>
    <col min="11779" max="11779" width="9.625" style="7" customWidth="1"/>
    <col min="11780" max="11780" width="8.75" style="7" customWidth="1"/>
    <col min="11781" max="11781" width="12.375" style="7" customWidth="1"/>
    <col min="11782" max="11782" width="8.75" style="7" customWidth="1"/>
    <col min="11783" max="11783" width="11.5" style="7" customWidth="1"/>
    <col min="11784" max="11784" width="6.625" style="7" customWidth="1"/>
    <col min="11785" max="11785" width="11.25" style="7" customWidth="1"/>
    <col min="11786" max="12003" width="9" style="7" customWidth="1"/>
    <col min="12004" max="12004" width="9.625" style="7" customWidth="1"/>
    <col min="12005" max="12005" width="7.625" style="7" customWidth="1"/>
    <col min="12006" max="12006" width="18.5" style="7" customWidth="1"/>
    <col min="12007" max="12007" width="6.625" style="7" customWidth="1"/>
    <col min="12008" max="12008" width="12.25" style="7" customWidth="1"/>
    <col min="12009" max="12009" width="8" style="7" customWidth="1"/>
    <col min="12010" max="12010" width="10.625" style="7" customWidth="1"/>
    <col min="12011" max="12011" width="8" style="7" customWidth="1"/>
    <col min="12012" max="12012" width="11.375" style="7" customWidth="1"/>
    <col min="12013" max="12013" width="11.5" style="7" customWidth="1"/>
    <col min="12014" max="12014" width="8" style="7" customWidth="1"/>
    <col min="12015" max="12015" width="11.25" style="7" customWidth="1"/>
    <col min="12016" max="12016" width="8" style="7" customWidth="1"/>
    <col min="12017" max="12017" width="10.875" style="7" customWidth="1"/>
    <col min="12018" max="12018" width="12.25" style="7" customWidth="1"/>
    <col min="12019" max="12019" width="8" style="7" customWidth="1"/>
    <col min="12020" max="12020" width="11.875" style="7" customWidth="1"/>
    <col min="12021" max="12021" width="8" style="7" customWidth="1"/>
    <col min="12022" max="12022" width="11" style="7" customWidth="1"/>
    <col min="12023" max="12023" width="12.25" style="7" customWidth="1"/>
    <col min="12024" max="12024" width="8" style="7" customWidth="1"/>
    <col min="12025" max="12025" width="11.875" style="7" customWidth="1"/>
    <col min="12026" max="12026" width="8" style="7" customWidth="1"/>
    <col min="12027" max="12027" width="12.25" style="7" customWidth="1"/>
    <col min="12028" max="12028" width="14.25" style="7" customWidth="1"/>
    <col min="12029" max="12029" width="8" style="7" customWidth="1"/>
    <col min="12030" max="12030" width="14" style="7" customWidth="1"/>
    <col min="12031" max="12031" width="8.875" style="7" customWidth="1"/>
    <col min="12032" max="12032" width="15.25" style="7" customWidth="1"/>
    <col min="12033" max="12033" width="16.375" style="7" customWidth="1"/>
    <col min="12034" max="12034" width="8.875" style="7" customWidth="1"/>
    <col min="12035" max="12035" width="9.625" style="7" customWidth="1"/>
    <col min="12036" max="12036" width="8.75" style="7" customWidth="1"/>
    <col min="12037" max="12037" width="12.375" style="7" customWidth="1"/>
    <col min="12038" max="12038" width="8.75" style="7" customWidth="1"/>
    <col min="12039" max="12039" width="11.5" style="7" customWidth="1"/>
    <col min="12040" max="12040" width="6.625" style="7" customWidth="1"/>
    <col min="12041" max="12041" width="11.25" style="7" customWidth="1"/>
    <col min="12042" max="12259" width="9" style="7" customWidth="1"/>
    <col min="12260" max="12260" width="9.625" style="7" customWidth="1"/>
    <col min="12261" max="12261" width="7.625" style="7" customWidth="1"/>
    <col min="12262" max="12262" width="18.5" style="7" customWidth="1"/>
    <col min="12263" max="12263" width="6.625" style="7" customWidth="1"/>
    <col min="12264" max="12264" width="12.25" style="7" customWidth="1"/>
    <col min="12265" max="12265" width="8" style="7" customWidth="1"/>
    <col min="12266" max="12266" width="10.625" style="7" customWidth="1"/>
    <col min="12267" max="12267" width="8" style="7" customWidth="1"/>
    <col min="12268" max="12268" width="11.375" style="7" customWidth="1"/>
    <col min="12269" max="12269" width="11.5" style="7" customWidth="1"/>
    <col min="12270" max="12270" width="8" style="7" customWidth="1"/>
    <col min="12271" max="12271" width="11.25" style="7" customWidth="1"/>
    <col min="12272" max="12272" width="8" style="7" customWidth="1"/>
    <col min="12273" max="12273" width="10.875" style="7" customWidth="1"/>
    <col min="12274" max="12274" width="12.25" style="7" customWidth="1"/>
    <col min="12275" max="12275" width="8" style="7" customWidth="1"/>
    <col min="12276" max="12276" width="11.875" style="7" customWidth="1"/>
    <col min="12277" max="12277" width="8" style="7" customWidth="1"/>
    <col min="12278" max="12278" width="11" style="7" customWidth="1"/>
    <col min="12279" max="12279" width="12.25" style="7" customWidth="1"/>
    <col min="12280" max="12280" width="8" style="7" customWidth="1"/>
    <col min="12281" max="12281" width="11.875" style="7" customWidth="1"/>
    <col min="12282" max="12282" width="8" style="7" customWidth="1"/>
    <col min="12283" max="12283" width="12.25" style="7" customWidth="1"/>
    <col min="12284" max="12284" width="14.25" style="7" customWidth="1"/>
    <col min="12285" max="12285" width="8" style="7" customWidth="1"/>
    <col min="12286" max="12286" width="14" style="7" customWidth="1"/>
    <col min="12287" max="12287" width="8.875" style="7" customWidth="1"/>
    <col min="12288" max="12288" width="15.25" style="7" customWidth="1"/>
    <col min="12289" max="12289" width="16.375" style="7" customWidth="1"/>
    <col min="12290" max="12290" width="8.875" style="7" customWidth="1"/>
    <col min="12291" max="12291" width="9.625" style="7" customWidth="1"/>
    <col min="12292" max="12292" width="8.75" style="7" customWidth="1"/>
    <col min="12293" max="12293" width="12.375" style="7" customWidth="1"/>
    <col min="12294" max="12294" width="8.75" style="7" customWidth="1"/>
    <col min="12295" max="12295" width="11.5" style="7" customWidth="1"/>
    <col min="12296" max="12296" width="6.625" style="7" customWidth="1"/>
    <col min="12297" max="12297" width="11.25" style="7" customWidth="1"/>
    <col min="12298" max="12515" width="9" style="7" customWidth="1"/>
    <col min="12516" max="12516" width="9.625" style="7" customWidth="1"/>
    <col min="12517" max="12517" width="7.625" style="7" customWidth="1"/>
    <col min="12518" max="12518" width="18.5" style="7" customWidth="1"/>
    <col min="12519" max="12519" width="6.625" style="7" customWidth="1"/>
    <col min="12520" max="12520" width="12.25" style="7" customWidth="1"/>
    <col min="12521" max="12521" width="8" style="7" customWidth="1"/>
    <col min="12522" max="12522" width="10.625" style="7" customWidth="1"/>
    <col min="12523" max="12523" width="8" style="7" customWidth="1"/>
    <col min="12524" max="12524" width="11.375" style="7" customWidth="1"/>
    <col min="12525" max="12525" width="11.5" style="7" customWidth="1"/>
    <col min="12526" max="12526" width="8" style="7" customWidth="1"/>
    <col min="12527" max="12527" width="11.25" style="7" customWidth="1"/>
    <col min="12528" max="12528" width="8" style="7" customWidth="1"/>
    <col min="12529" max="12529" width="10.875" style="7" customWidth="1"/>
    <col min="12530" max="12530" width="12.25" style="7" customWidth="1"/>
    <col min="12531" max="12531" width="8" style="7" customWidth="1"/>
    <col min="12532" max="12532" width="11.875" style="7" customWidth="1"/>
    <col min="12533" max="12533" width="8" style="7" customWidth="1"/>
    <col min="12534" max="12534" width="11" style="7" customWidth="1"/>
    <col min="12535" max="12535" width="12.25" style="7" customWidth="1"/>
    <col min="12536" max="12536" width="8" style="7" customWidth="1"/>
    <col min="12537" max="12537" width="11.875" style="7" customWidth="1"/>
    <col min="12538" max="12538" width="8" style="7" customWidth="1"/>
    <col min="12539" max="12539" width="12.25" style="7" customWidth="1"/>
    <col min="12540" max="12540" width="14.25" style="7" customWidth="1"/>
    <col min="12541" max="12541" width="8" style="7" customWidth="1"/>
    <col min="12542" max="12542" width="14" style="7" customWidth="1"/>
    <col min="12543" max="12543" width="8.875" style="7" customWidth="1"/>
    <col min="12544" max="12544" width="15.25" style="7" customWidth="1"/>
    <col min="12545" max="12545" width="16.375" style="7" customWidth="1"/>
    <col min="12546" max="12546" width="8.875" style="7" customWidth="1"/>
    <col min="12547" max="12547" width="9.625" style="7" customWidth="1"/>
    <col min="12548" max="12548" width="8.75" style="7" customWidth="1"/>
    <col min="12549" max="12549" width="12.375" style="7" customWidth="1"/>
    <col min="12550" max="12550" width="8.75" style="7" customWidth="1"/>
    <col min="12551" max="12551" width="11.5" style="7" customWidth="1"/>
    <col min="12552" max="12552" width="6.625" style="7" customWidth="1"/>
    <col min="12553" max="12553" width="11.25" style="7" customWidth="1"/>
    <col min="12554" max="12771" width="9" style="7" customWidth="1"/>
    <col min="12772" max="12772" width="9.625" style="7" customWidth="1"/>
    <col min="12773" max="12773" width="7.625" style="7" customWidth="1"/>
    <col min="12774" max="12774" width="18.5" style="7" customWidth="1"/>
    <col min="12775" max="12775" width="6.625" style="7" customWidth="1"/>
    <col min="12776" max="12776" width="12.25" style="7" customWidth="1"/>
    <col min="12777" max="12777" width="8" style="7" customWidth="1"/>
    <col min="12778" max="12778" width="10.625" style="7" customWidth="1"/>
    <col min="12779" max="12779" width="8" style="7" customWidth="1"/>
    <col min="12780" max="12780" width="11.375" style="7" customWidth="1"/>
    <col min="12781" max="12781" width="11.5" style="7" customWidth="1"/>
    <col min="12782" max="12782" width="8" style="7" customWidth="1"/>
    <col min="12783" max="12783" width="11.25" style="7" customWidth="1"/>
    <col min="12784" max="12784" width="8" style="7" customWidth="1"/>
    <col min="12785" max="12785" width="10.875" style="7" customWidth="1"/>
    <col min="12786" max="12786" width="12.25" style="7" customWidth="1"/>
    <col min="12787" max="12787" width="8" style="7" customWidth="1"/>
    <col min="12788" max="12788" width="11.875" style="7" customWidth="1"/>
    <col min="12789" max="12789" width="8" style="7" customWidth="1"/>
    <col min="12790" max="12790" width="11" style="7" customWidth="1"/>
    <col min="12791" max="12791" width="12.25" style="7" customWidth="1"/>
    <col min="12792" max="12792" width="8" style="7" customWidth="1"/>
    <col min="12793" max="12793" width="11.875" style="7" customWidth="1"/>
    <col min="12794" max="12794" width="8" style="7" customWidth="1"/>
    <col min="12795" max="12795" width="12.25" style="7" customWidth="1"/>
    <col min="12796" max="12796" width="14.25" style="7" customWidth="1"/>
    <col min="12797" max="12797" width="8" style="7" customWidth="1"/>
    <col min="12798" max="12798" width="14" style="7" customWidth="1"/>
    <col min="12799" max="12799" width="8.875" style="7" customWidth="1"/>
    <col min="12800" max="12800" width="15.25" style="7" customWidth="1"/>
    <col min="12801" max="12801" width="16.375" style="7" customWidth="1"/>
    <col min="12802" max="12802" width="8.875" style="7" customWidth="1"/>
    <col min="12803" max="12803" width="9.625" style="7" customWidth="1"/>
    <col min="12804" max="12804" width="8.75" style="7" customWidth="1"/>
    <col min="12805" max="12805" width="12.375" style="7" customWidth="1"/>
    <col min="12806" max="12806" width="8.75" style="7" customWidth="1"/>
    <col min="12807" max="12807" width="11.5" style="7" customWidth="1"/>
    <col min="12808" max="12808" width="6.625" style="7" customWidth="1"/>
    <col min="12809" max="12809" width="11.25" style="7" customWidth="1"/>
    <col min="12810" max="13027" width="9" style="7" customWidth="1"/>
    <col min="13028" max="13028" width="9.625" style="7" customWidth="1"/>
    <col min="13029" max="13029" width="7.625" style="7" customWidth="1"/>
    <col min="13030" max="13030" width="18.5" style="7" customWidth="1"/>
    <col min="13031" max="13031" width="6.625" style="7" customWidth="1"/>
    <col min="13032" max="13032" width="12.25" style="7" customWidth="1"/>
    <col min="13033" max="13033" width="8" style="7" customWidth="1"/>
    <col min="13034" max="13034" width="10.625" style="7" customWidth="1"/>
    <col min="13035" max="13035" width="8" style="7" customWidth="1"/>
    <col min="13036" max="13036" width="11.375" style="7" customWidth="1"/>
    <col min="13037" max="13037" width="11.5" style="7" customWidth="1"/>
    <col min="13038" max="13038" width="8" style="7" customWidth="1"/>
    <col min="13039" max="13039" width="11.25" style="7" customWidth="1"/>
    <col min="13040" max="13040" width="8" style="7" customWidth="1"/>
    <col min="13041" max="13041" width="10.875" style="7" customWidth="1"/>
    <col min="13042" max="13042" width="12.25" style="7" customWidth="1"/>
    <col min="13043" max="13043" width="8" style="7" customWidth="1"/>
    <col min="13044" max="13044" width="11.875" style="7" customWidth="1"/>
    <col min="13045" max="13045" width="8" style="7" customWidth="1"/>
    <col min="13046" max="13046" width="11" style="7" customWidth="1"/>
    <col min="13047" max="13047" width="12.25" style="7" customWidth="1"/>
    <col min="13048" max="13048" width="8" style="7" customWidth="1"/>
    <col min="13049" max="13049" width="11.875" style="7" customWidth="1"/>
    <col min="13050" max="13050" width="8" style="7" customWidth="1"/>
    <col min="13051" max="13051" width="12.25" style="7" customWidth="1"/>
    <col min="13052" max="13052" width="14.25" style="7" customWidth="1"/>
    <col min="13053" max="13053" width="8" style="7" customWidth="1"/>
    <col min="13054" max="13054" width="14" style="7" customWidth="1"/>
    <col min="13055" max="13055" width="8.875" style="7" customWidth="1"/>
    <col min="13056" max="13056" width="15.25" style="7" customWidth="1"/>
    <col min="13057" max="13057" width="16.375" style="7" customWidth="1"/>
    <col min="13058" max="13058" width="8.875" style="7" customWidth="1"/>
    <col min="13059" max="13059" width="9.625" style="7" customWidth="1"/>
    <col min="13060" max="13060" width="8.75" style="7" customWidth="1"/>
    <col min="13061" max="13061" width="12.375" style="7" customWidth="1"/>
    <col min="13062" max="13062" width="8.75" style="7" customWidth="1"/>
    <col min="13063" max="13063" width="11.5" style="7" customWidth="1"/>
    <col min="13064" max="13064" width="6.625" style="7" customWidth="1"/>
    <col min="13065" max="13065" width="11.25" style="7" customWidth="1"/>
    <col min="13066" max="13283" width="9" style="7" customWidth="1"/>
    <col min="13284" max="13284" width="9.625" style="7" customWidth="1"/>
    <col min="13285" max="13285" width="7.625" style="7" customWidth="1"/>
    <col min="13286" max="13286" width="18.5" style="7" customWidth="1"/>
    <col min="13287" max="13287" width="6.625" style="7" customWidth="1"/>
    <col min="13288" max="13288" width="12.25" style="7" customWidth="1"/>
    <col min="13289" max="13289" width="8" style="7" customWidth="1"/>
    <col min="13290" max="13290" width="10.625" style="7" customWidth="1"/>
    <col min="13291" max="13291" width="8" style="7" customWidth="1"/>
    <col min="13292" max="13292" width="11.375" style="7" customWidth="1"/>
    <col min="13293" max="13293" width="11.5" style="7" customWidth="1"/>
    <col min="13294" max="13294" width="8" style="7" customWidth="1"/>
    <col min="13295" max="13295" width="11.25" style="7" customWidth="1"/>
    <col min="13296" max="13296" width="8" style="7" customWidth="1"/>
    <col min="13297" max="13297" width="10.875" style="7" customWidth="1"/>
    <col min="13298" max="13298" width="12.25" style="7" customWidth="1"/>
    <col min="13299" max="13299" width="8" style="7" customWidth="1"/>
    <col min="13300" max="13300" width="11.875" style="7" customWidth="1"/>
    <col min="13301" max="13301" width="8" style="7" customWidth="1"/>
    <col min="13302" max="13302" width="11" style="7" customWidth="1"/>
    <col min="13303" max="13303" width="12.25" style="7" customWidth="1"/>
    <col min="13304" max="13304" width="8" style="7" customWidth="1"/>
    <col min="13305" max="13305" width="11.875" style="7" customWidth="1"/>
    <col min="13306" max="13306" width="8" style="7" customWidth="1"/>
    <col min="13307" max="13307" width="12.25" style="7" customWidth="1"/>
    <col min="13308" max="13308" width="14.25" style="7" customWidth="1"/>
    <col min="13309" max="13309" width="8" style="7" customWidth="1"/>
    <col min="13310" max="13310" width="14" style="7" customWidth="1"/>
    <col min="13311" max="13311" width="8.875" style="7" customWidth="1"/>
    <col min="13312" max="13312" width="15.25" style="7" customWidth="1"/>
    <col min="13313" max="13313" width="16.375" style="7" customWidth="1"/>
    <col min="13314" max="13314" width="8.875" style="7" customWidth="1"/>
    <col min="13315" max="13315" width="9.625" style="7" customWidth="1"/>
    <col min="13316" max="13316" width="8.75" style="7" customWidth="1"/>
    <col min="13317" max="13317" width="12.375" style="7" customWidth="1"/>
    <col min="13318" max="13318" width="8.75" style="7" customWidth="1"/>
    <col min="13319" max="13319" width="11.5" style="7" customWidth="1"/>
    <col min="13320" max="13320" width="6.625" style="7" customWidth="1"/>
    <col min="13321" max="13321" width="11.25" style="7" customWidth="1"/>
    <col min="13322" max="13539" width="9" style="7" customWidth="1"/>
    <col min="13540" max="13540" width="9.625" style="7" customWidth="1"/>
    <col min="13541" max="13541" width="7.625" style="7" customWidth="1"/>
    <col min="13542" max="13542" width="18.5" style="7" customWidth="1"/>
    <col min="13543" max="13543" width="6.625" style="7" customWidth="1"/>
    <col min="13544" max="13544" width="12.25" style="7" customWidth="1"/>
    <col min="13545" max="13545" width="8" style="7" customWidth="1"/>
    <col min="13546" max="13546" width="10.625" style="7" customWidth="1"/>
    <col min="13547" max="13547" width="8" style="7" customWidth="1"/>
    <col min="13548" max="13548" width="11.375" style="7" customWidth="1"/>
    <col min="13549" max="13549" width="11.5" style="7" customWidth="1"/>
    <col min="13550" max="13550" width="8" style="7" customWidth="1"/>
    <col min="13551" max="13551" width="11.25" style="7" customWidth="1"/>
    <col min="13552" max="13552" width="8" style="7" customWidth="1"/>
    <col min="13553" max="13553" width="10.875" style="7" customWidth="1"/>
    <col min="13554" max="13554" width="12.25" style="7" customWidth="1"/>
    <col min="13555" max="13555" width="8" style="7" customWidth="1"/>
    <col min="13556" max="13556" width="11.875" style="7" customWidth="1"/>
    <col min="13557" max="13557" width="8" style="7" customWidth="1"/>
    <col min="13558" max="13558" width="11" style="7" customWidth="1"/>
    <col min="13559" max="13559" width="12.25" style="7" customWidth="1"/>
    <col min="13560" max="13560" width="8" style="7" customWidth="1"/>
    <col min="13561" max="13561" width="11.875" style="7" customWidth="1"/>
    <col min="13562" max="13562" width="8" style="7" customWidth="1"/>
    <col min="13563" max="13563" width="12.25" style="7" customWidth="1"/>
    <col min="13564" max="13564" width="14.25" style="7" customWidth="1"/>
    <col min="13565" max="13565" width="8" style="7" customWidth="1"/>
    <col min="13566" max="13566" width="14" style="7" customWidth="1"/>
    <col min="13567" max="13567" width="8.875" style="7" customWidth="1"/>
    <col min="13568" max="13568" width="15.25" style="7" customWidth="1"/>
    <col min="13569" max="13569" width="16.375" style="7" customWidth="1"/>
    <col min="13570" max="13570" width="8.875" style="7" customWidth="1"/>
    <col min="13571" max="13571" width="9.625" style="7" customWidth="1"/>
    <col min="13572" max="13572" width="8.75" style="7" customWidth="1"/>
    <col min="13573" max="13573" width="12.375" style="7" customWidth="1"/>
    <col min="13574" max="13574" width="8.75" style="7" customWidth="1"/>
    <col min="13575" max="13575" width="11.5" style="7" customWidth="1"/>
    <col min="13576" max="13576" width="6.625" style="7" customWidth="1"/>
    <col min="13577" max="13577" width="11.25" style="7" customWidth="1"/>
    <col min="13578" max="13795" width="9" style="7" customWidth="1"/>
    <col min="13796" max="13796" width="9.625" style="7" customWidth="1"/>
    <col min="13797" max="13797" width="7.625" style="7" customWidth="1"/>
    <col min="13798" max="13798" width="18.5" style="7" customWidth="1"/>
    <col min="13799" max="13799" width="6.625" style="7" customWidth="1"/>
    <col min="13800" max="13800" width="12.25" style="7" customWidth="1"/>
    <col min="13801" max="13801" width="8" style="7" customWidth="1"/>
    <col min="13802" max="13802" width="10.625" style="7" customWidth="1"/>
    <col min="13803" max="13803" width="8" style="7" customWidth="1"/>
    <col min="13804" max="13804" width="11.375" style="7" customWidth="1"/>
    <col min="13805" max="13805" width="11.5" style="7" customWidth="1"/>
    <col min="13806" max="13806" width="8" style="7" customWidth="1"/>
    <col min="13807" max="13807" width="11.25" style="7" customWidth="1"/>
    <col min="13808" max="13808" width="8" style="7" customWidth="1"/>
    <col min="13809" max="13809" width="10.875" style="7" customWidth="1"/>
    <col min="13810" max="13810" width="12.25" style="7" customWidth="1"/>
    <col min="13811" max="13811" width="8" style="7" customWidth="1"/>
    <col min="13812" max="13812" width="11.875" style="7" customWidth="1"/>
    <col min="13813" max="13813" width="8" style="7" customWidth="1"/>
    <col min="13814" max="13814" width="11" style="7" customWidth="1"/>
    <col min="13815" max="13815" width="12.25" style="7" customWidth="1"/>
    <col min="13816" max="13816" width="8" style="7" customWidth="1"/>
    <col min="13817" max="13817" width="11.875" style="7" customWidth="1"/>
    <col min="13818" max="13818" width="8" style="7" customWidth="1"/>
    <col min="13819" max="13819" width="12.25" style="7" customWidth="1"/>
    <col min="13820" max="13820" width="14.25" style="7" customWidth="1"/>
    <col min="13821" max="13821" width="8" style="7" customWidth="1"/>
    <col min="13822" max="13822" width="14" style="7" customWidth="1"/>
    <col min="13823" max="13823" width="8.875" style="7" customWidth="1"/>
    <col min="13824" max="13824" width="15.25" style="7" customWidth="1"/>
    <col min="13825" max="13825" width="16.375" style="7" customWidth="1"/>
    <col min="13826" max="13826" width="8.875" style="7" customWidth="1"/>
    <col min="13827" max="13827" width="9.625" style="7" customWidth="1"/>
    <col min="13828" max="13828" width="8.75" style="7" customWidth="1"/>
    <col min="13829" max="13829" width="12.375" style="7" customWidth="1"/>
    <col min="13830" max="13830" width="8.75" style="7" customWidth="1"/>
    <col min="13831" max="13831" width="11.5" style="7" customWidth="1"/>
    <col min="13832" max="13832" width="6.625" style="7" customWidth="1"/>
    <col min="13833" max="13833" width="11.25" style="7" customWidth="1"/>
    <col min="13834" max="14051" width="9" style="7" customWidth="1"/>
    <col min="14052" max="14052" width="9.625" style="7" customWidth="1"/>
    <col min="14053" max="14053" width="7.625" style="7" customWidth="1"/>
    <col min="14054" max="14054" width="18.5" style="7" customWidth="1"/>
    <col min="14055" max="14055" width="6.625" style="7" customWidth="1"/>
    <col min="14056" max="14056" width="12.25" style="7" customWidth="1"/>
    <col min="14057" max="14057" width="8" style="7" customWidth="1"/>
    <col min="14058" max="14058" width="10.625" style="7" customWidth="1"/>
    <col min="14059" max="14059" width="8" style="7" customWidth="1"/>
    <col min="14060" max="14060" width="11.375" style="7" customWidth="1"/>
    <col min="14061" max="14061" width="11.5" style="7" customWidth="1"/>
    <col min="14062" max="14062" width="8" style="7" customWidth="1"/>
    <col min="14063" max="14063" width="11.25" style="7" customWidth="1"/>
    <col min="14064" max="14064" width="8" style="7" customWidth="1"/>
    <col min="14065" max="14065" width="10.875" style="7" customWidth="1"/>
    <col min="14066" max="14066" width="12.25" style="7" customWidth="1"/>
    <col min="14067" max="14067" width="8" style="7" customWidth="1"/>
    <col min="14068" max="14068" width="11.875" style="7" customWidth="1"/>
    <col min="14069" max="14069" width="8" style="7" customWidth="1"/>
    <col min="14070" max="14070" width="11" style="7" customWidth="1"/>
    <col min="14071" max="14071" width="12.25" style="7" customWidth="1"/>
    <col min="14072" max="14072" width="8" style="7" customWidth="1"/>
    <col min="14073" max="14073" width="11.875" style="7" customWidth="1"/>
    <col min="14074" max="14074" width="8" style="7" customWidth="1"/>
    <col min="14075" max="14075" width="12.25" style="7" customWidth="1"/>
    <col min="14076" max="14076" width="14.25" style="7" customWidth="1"/>
    <col min="14077" max="14077" width="8" style="7" customWidth="1"/>
    <col min="14078" max="14078" width="14" style="7" customWidth="1"/>
    <col min="14079" max="14079" width="8.875" style="7" customWidth="1"/>
    <col min="14080" max="14080" width="15.25" style="7" customWidth="1"/>
    <col min="14081" max="14081" width="16.375" style="7" customWidth="1"/>
    <col min="14082" max="14082" width="8.875" style="7" customWidth="1"/>
    <col min="14083" max="14083" width="9.625" style="7" customWidth="1"/>
    <col min="14084" max="14084" width="8.75" style="7" customWidth="1"/>
    <col min="14085" max="14085" width="12.375" style="7" customWidth="1"/>
    <col min="14086" max="14086" width="8.75" style="7" customWidth="1"/>
    <col min="14087" max="14087" width="11.5" style="7" customWidth="1"/>
    <col min="14088" max="14088" width="6.625" style="7" customWidth="1"/>
    <col min="14089" max="14089" width="11.25" style="7" customWidth="1"/>
    <col min="14090" max="14307" width="9" style="7" customWidth="1"/>
    <col min="14308" max="14308" width="9.625" style="7" customWidth="1"/>
    <col min="14309" max="14309" width="7.625" style="7" customWidth="1"/>
    <col min="14310" max="14310" width="18.5" style="7" customWidth="1"/>
    <col min="14311" max="14311" width="6.625" style="7" customWidth="1"/>
    <col min="14312" max="14312" width="12.25" style="7" customWidth="1"/>
    <col min="14313" max="14313" width="8" style="7" customWidth="1"/>
    <col min="14314" max="14314" width="10.625" style="7" customWidth="1"/>
    <col min="14315" max="14315" width="8" style="7" customWidth="1"/>
    <col min="14316" max="14316" width="11.375" style="7" customWidth="1"/>
    <col min="14317" max="14317" width="11.5" style="7" customWidth="1"/>
    <col min="14318" max="14318" width="8" style="7" customWidth="1"/>
    <col min="14319" max="14319" width="11.25" style="7" customWidth="1"/>
    <col min="14320" max="14320" width="8" style="7" customWidth="1"/>
    <col min="14321" max="14321" width="10.875" style="7" customWidth="1"/>
    <col min="14322" max="14322" width="12.25" style="7" customWidth="1"/>
    <col min="14323" max="14323" width="8" style="7" customWidth="1"/>
    <col min="14324" max="14324" width="11.875" style="7" customWidth="1"/>
    <col min="14325" max="14325" width="8" style="7" customWidth="1"/>
    <col min="14326" max="14326" width="11" style="7" customWidth="1"/>
    <col min="14327" max="14327" width="12.25" style="7" customWidth="1"/>
    <col min="14328" max="14328" width="8" style="7" customWidth="1"/>
    <col min="14329" max="14329" width="11.875" style="7" customWidth="1"/>
    <col min="14330" max="14330" width="8" style="7" customWidth="1"/>
    <col min="14331" max="14331" width="12.25" style="7" customWidth="1"/>
    <col min="14332" max="14332" width="14.25" style="7" customWidth="1"/>
    <col min="14333" max="14333" width="8" style="7" customWidth="1"/>
    <col min="14334" max="14334" width="14" style="7" customWidth="1"/>
    <col min="14335" max="14335" width="8.875" style="7" customWidth="1"/>
    <col min="14336" max="14336" width="15.25" style="7" customWidth="1"/>
    <col min="14337" max="14337" width="16.375" style="7" customWidth="1"/>
    <col min="14338" max="14338" width="8.875" style="7" customWidth="1"/>
    <col min="14339" max="14339" width="9.625" style="7" customWidth="1"/>
    <col min="14340" max="14340" width="8.75" style="7" customWidth="1"/>
    <col min="14341" max="14341" width="12.375" style="7" customWidth="1"/>
    <col min="14342" max="14342" width="8.75" style="7" customWidth="1"/>
    <col min="14343" max="14343" width="11.5" style="7" customWidth="1"/>
    <col min="14344" max="14344" width="6.625" style="7" customWidth="1"/>
    <col min="14345" max="14345" width="11.25" style="7" customWidth="1"/>
    <col min="14346" max="14563" width="9" style="7" customWidth="1"/>
    <col min="14564" max="14564" width="9.625" style="7" customWidth="1"/>
    <col min="14565" max="14565" width="7.625" style="7" customWidth="1"/>
    <col min="14566" max="14566" width="18.5" style="7" customWidth="1"/>
    <col min="14567" max="14567" width="6.625" style="7" customWidth="1"/>
    <col min="14568" max="14568" width="12.25" style="7" customWidth="1"/>
    <col min="14569" max="14569" width="8" style="7" customWidth="1"/>
    <col min="14570" max="14570" width="10.625" style="7" customWidth="1"/>
    <col min="14571" max="14571" width="8" style="7" customWidth="1"/>
    <col min="14572" max="14572" width="11.375" style="7" customWidth="1"/>
    <col min="14573" max="14573" width="11.5" style="7" customWidth="1"/>
    <col min="14574" max="14574" width="8" style="7" customWidth="1"/>
    <col min="14575" max="14575" width="11.25" style="7" customWidth="1"/>
    <col min="14576" max="14576" width="8" style="7" customWidth="1"/>
    <col min="14577" max="14577" width="10.875" style="7" customWidth="1"/>
    <col min="14578" max="14578" width="12.25" style="7" customWidth="1"/>
    <col min="14579" max="14579" width="8" style="7" customWidth="1"/>
    <col min="14580" max="14580" width="11.875" style="7" customWidth="1"/>
    <col min="14581" max="14581" width="8" style="7" customWidth="1"/>
    <col min="14582" max="14582" width="11" style="7" customWidth="1"/>
    <col min="14583" max="14583" width="12.25" style="7" customWidth="1"/>
    <col min="14584" max="14584" width="8" style="7" customWidth="1"/>
    <col min="14585" max="14585" width="11.875" style="7" customWidth="1"/>
    <col min="14586" max="14586" width="8" style="7" customWidth="1"/>
    <col min="14587" max="14587" width="12.25" style="7" customWidth="1"/>
    <col min="14588" max="14588" width="14.25" style="7" customWidth="1"/>
    <col min="14589" max="14589" width="8" style="7" customWidth="1"/>
    <col min="14590" max="14590" width="14" style="7" customWidth="1"/>
    <col min="14591" max="14591" width="8.875" style="7" customWidth="1"/>
    <col min="14592" max="14592" width="15.25" style="7" customWidth="1"/>
    <col min="14593" max="14593" width="16.375" style="7" customWidth="1"/>
    <col min="14594" max="14594" width="8.875" style="7" customWidth="1"/>
    <col min="14595" max="14595" width="9.625" style="7" customWidth="1"/>
    <col min="14596" max="14596" width="8.75" style="7" customWidth="1"/>
    <col min="14597" max="14597" width="12.375" style="7" customWidth="1"/>
    <col min="14598" max="14598" width="8.75" style="7" customWidth="1"/>
    <col min="14599" max="14599" width="11.5" style="7" customWidth="1"/>
    <col min="14600" max="14600" width="6.625" style="7" customWidth="1"/>
    <col min="14601" max="14601" width="11.25" style="7" customWidth="1"/>
    <col min="14602" max="14819" width="9" style="7" customWidth="1"/>
    <col min="14820" max="14820" width="9.625" style="7" customWidth="1"/>
    <col min="14821" max="14821" width="7.625" style="7" customWidth="1"/>
    <col min="14822" max="14822" width="18.5" style="7" customWidth="1"/>
    <col min="14823" max="14823" width="6.625" style="7" customWidth="1"/>
    <col min="14824" max="14824" width="12.25" style="7" customWidth="1"/>
    <col min="14825" max="14825" width="8" style="7" customWidth="1"/>
    <col min="14826" max="14826" width="10.625" style="7" customWidth="1"/>
    <col min="14827" max="14827" width="8" style="7" customWidth="1"/>
    <col min="14828" max="14828" width="11.375" style="7" customWidth="1"/>
    <col min="14829" max="14829" width="11.5" style="7" customWidth="1"/>
    <col min="14830" max="14830" width="8" style="7" customWidth="1"/>
    <col min="14831" max="14831" width="11.25" style="7" customWidth="1"/>
    <col min="14832" max="14832" width="8" style="7" customWidth="1"/>
    <col min="14833" max="14833" width="10.875" style="7" customWidth="1"/>
    <col min="14834" max="14834" width="12.25" style="7" customWidth="1"/>
    <col min="14835" max="14835" width="8" style="7" customWidth="1"/>
    <col min="14836" max="14836" width="11.875" style="7" customWidth="1"/>
    <col min="14837" max="14837" width="8" style="7" customWidth="1"/>
    <col min="14838" max="14838" width="11" style="7" customWidth="1"/>
    <col min="14839" max="14839" width="12.25" style="7" customWidth="1"/>
    <col min="14840" max="14840" width="8" style="7" customWidth="1"/>
    <col min="14841" max="14841" width="11.875" style="7" customWidth="1"/>
    <col min="14842" max="14842" width="8" style="7" customWidth="1"/>
    <col min="14843" max="14843" width="12.25" style="7" customWidth="1"/>
    <col min="14844" max="14844" width="14.25" style="7" customWidth="1"/>
    <col min="14845" max="14845" width="8" style="7" customWidth="1"/>
    <col min="14846" max="14846" width="14" style="7" customWidth="1"/>
    <col min="14847" max="14847" width="8.875" style="7" customWidth="1"/>
    <col min="14848" max="14848" width="15.25" style="7" customWidth="1"/>
    <col min="14849" max="14849" width="16.375" style="7" customWidth="1"/>
    <col min="14850" max="14850" width="8.875" style="7" customWidth="1"/>
    <col min="14851" max="14851" width="9.625" style="7" customWidth="1"/>
    <col min="14852" max="14852" width="8.75" style="7" customWidth="1"/>
    <col min="14853" max="14853" width="12.375" style="7" customWidth="1"/>
    <col min="14854" max="14854" width="8.75" style="7" customWidth="1"/>
    <col min="14855" max="14855" width="11.5" style="7" customWidth="1"/>
    <col min="14856" max="14856" width="6.625" style="7" customWidth="1"/>
    <col min="14857" max="14857" width="11.25" style="7" customWidth="1"/>
    <col min="14858" max="15075" width="9" style="7" customWidth="1"/>
    <col min="15076" max="15076" width="9.625" style="7" customWidth="1"/>
    <col min="15077" max="15077" width="7.625" style="7" customWidth="1"/>
    <col min="15078" max="15078" width="18.5" style="7" customWidth="1"/>
    <col min="15079" max="15079" width="6.625" style="7" customWidth="1"/>
    <col min="15080" max="15080" width="12.25" style="7" customWidth="1"/>
    <col min="15081" max="15081" width="8" style="7" customWidth="1"/>
    <col min="15082" max="15082" width="10.625" style="7" customWidth="1"/>
    <col min="15083" max="15083" width="8" style="7" customWidth="1"/>
    <col min="15084" max="15084" width="11.375" style="7" customWidth="1"/>
    <col min="15085" max="15085" width="11.5" style="7" customWidth="1"/>
    <col min="15086" max="15086" width="8" style="7" customWidth="1"/>
    <col min="15087" max="15087" width="11.25" style="7" customWidth="1"/>
    <col min="15088" max="15088" width="8" style="7" customWidth="1"/>
    <col min="15089" max="15089" width="10.875" style="7" customWidth="1"/>
    <col min="15090" max="15090" width="12.25" style="7" customWidth="1"/>
    <col min="15091" max="15091" width="8" style="7" customWidth="1"/>
    <col min="15092" max="15092" width="11.875" style="7" customWidth="1"/>
    <col min="15093" max="15093" width="8" style="7" customWidth="1"/>
    <col min="15094" max="15094" width="11" style="7" customWidth="1"/>
    <col min="15095" max="15095" width="12.25" style="7" customWidth="1"/>
    <col min="15096" max="15096" width="8" style="7" customWidth="1"/>
    <col min="15097" max="15097" width="11.875" style="7" customWidth="1"/>
    <col min="15098" max="15098" width="8" style="7" customWidth="1"/>
    <col min="15099" max="15099" width="12.25" style="7" customWidth="1"/>
    <col min="15100" max="15100" width="14.25" style="7" customWidth="1"/>
    <col min="15101" max="15101" width="8" style="7" customWidth="1"/>
    <col min="15102" max="15102" width="14" style="7" customWidth="1"/>
    <col min="15103" max="15103" width="8.875" style="7" customWidth="1"/>
    <col min="15104" max="15104" width="15.25" style="7" customWidth="1"/>
    <col min="15105" max="15105" width="16.375" style="7" customWidth="1"/>
    <col min="15106" max="15106" width="8.875" style="7" customWidth="1"/>
    <col min="15107" max="15107" width="9.625" style="7" customWidth="1"/>
    <col min="15108" max="15108" width="8.75" style="7" customWidth="1"/>
    <col min="15109" max="15109" width="12.375" style="7" customWidth="1"/>
    <col min="15110" max="15110" width="8.75" style="7" customWidth="1"/>
    <col min="15111" max="15111" width="11.5" style="7" customWidth="1"/>
    <col min="15112" max="15112" width="6.625" style="7" customWidth="1"/>
    <col min="15113" max="15113" width="11.25" style="7" customWidth="1"/>
    <col min="15114" max="15331" width="9" style="7" customWidth="1"/>
    <col min="15332" max="15332" width="9.625" style="7" customWidth="1"/>
    <col min="15333" max="15333" width="7.625" style="7" customWidth="1"/>
    <col min="15334" max="15334" width="18.5" style="7" customWidth="1"/>
    <col min="15335" max="15335" width="6.625" style="7" customWidth="1"/>
    <col min="15336" max="15336" width="12.25" style="7" customWidth="1"/>
    <col min="15337" max="15337" width="8" style="7" customWidth="1"/>
    <col min="15338" max="15338" width="10.625" style="7" customWidth="1"/>
    <col min="15339" max="15339" width="8" style="7" customWidth="1"/>
    <col min="15340" max="15340" width="11.375" style="7" customWidth="1"/>
    <col min="15341" max="15341" width="11.5" style="7" customWidth="1"/>
    <col min="15342" max="15342" width="8" style="7" customWidth="1"/>
    <col min="15343" max="15343" width="11.25" style="7" customWidth="1"/>
    <col min="15344" max="15344" width="8" style="7" customWidth="1"/>
    <col min="15345" max="15345" width="10.875" style="7" customWidth="1"/>
    <col min="15346" max="15346" width="12.25" style="7" customWidth="1"/>
    <col min="15347" max="15347" width="8" style="7" customWidth="1"/>
    <col min="15348" max="15348" width="11.875" style="7" customWidth="1"/>
    <col min="15349" max="15349" width="8" style="7" customWidth="1"/>
    <col min="15350" max="15350" width="11" style="7" customWidth="1"/>
    <col min="15351" max="15351" width="12.25" style="7" customWidth="1"/>
    <col min="15352" max="15352" width="8" style="7" customWidth="1"/>
    <col min="15353" max="15353" width="11.875" style="7" customWidth="1"/>
    <col min="15354" max="15354" width="8" style="7" customWidth="1"/>
    <col min="15355" max="15355" width="12.25" style="7" customWidth="1"/>
    <col min="15356" max="15356" width="14.25" style="7" customWidth="1"/>
    <col min="15357" max="15357" width="8" style="7" customWidth="1"/>
    <col min="15358" max="15358" width="14" style="7" customWidth="1"/>
    <col min="15359" max="15359" width="8.875" style="7" customWidth="1"/>
    <col min="15360" max="15360" width="15.25" style="7" customWidth="1"/>
    <col min="15361" max="15361" width="16.375" style="7" customWidth="1"/>
    <col min="15362" max="15362" width="8.875" style="7" customWidth="1"/>
    <col min="15363" max="15363" width="9.625" style="7" customWidth="1"/>
    <col min="15364" max="15364" width="8.75" style="7" customWidth="1"/>
    <col min="15365" max="15365" width="12.375" style="7" customWidth="1"/>
    <col min="15366" max="15366" width="8.75" style="7" customWidth="1"/>
    <col min="15367" max="15367" width="11.5" style="7" customWidth="1"/>
    <col min="15368" max="15368" width="6.625" style="7" customWidth="1"/>
    <col min="15369" max="15369" width="11.25" style="7" customWidth="1"/>
    <col min="15370" max="15587" width="9" style="7" customWidth="1"/>
    <col min="15588" max="15588" width="9.625" style="7" customWidth="1"/>
    <col min="15589" max="15589" width="7.625" style="7" customWidth="1"/>
    <col min="15590" max="15590" width="18.5" style="7" customWidth="1"/>
    <col min="15591" max="15591" width="6.625" style="7" customWidth="1"/>
    <col min="15592" max="15592" width="12.25" style="7" customWidth="1"/>
    <col min="15593" max="15593" width="8" style="7" customWidth="1"/>
    <col min="15594" max="15594" width="10.625" style="7" customWidth="1"/>
    <col min="15595" max="15595" width="8" style="7" customWidth="1"/>
    <col min="15596" max="15596" width="11.375" style="7" customWidth="1"/>
    <col min="15597" max="15597" width="11.5" style="7" customWidth="1"/>
    <col min="15598" max="15598" width="8" style="7" customWidth="1"/>
    <col min="15599" max="15599" width="11.25" style="7" customWidth="1"/>
    <col min="15600" max="15600" width="8" style="7" customWidth="1"/>
    <col min="15601" max="15601" width="10.875" style="7" customWidth="1"/>
    <col min="15602" max="15602" width="12.25" style="7" customWidth="1"/>
    <col min="15603" max="15603" width="8" style="7" customWidth="1"/>
    <col min="15604" max="15604" width="11.875" style="7" customWidth="1"/>
    <col min="15605" max="15605" width="8" style="7" customWidth="1"/>
    <col min="15606" max="15606" width="11" style="7" customWidth="1"/>
    <col min="15607" max="15607" width="12.25" style="7" customWidth="1"/>
    <col min="15608" max="15608" width="8" style="7" customWidth="1"/>
    <col min="15609" max="15609" width="11.875" style="7" customWidth="1"/>
    <col min="15610" max="15610" width="8" style="7" customWidth="1"/>
    <col min="15611" max="15611" width="12.25" style="7" customWidth="1"/>
    <col min="15612" max="15612" width="14.25" style="7" customWidth="1"/>
    <col min="15613" max="15613" width="8" style="7" customWidth="1"/>
    <col min="15614" max="15614" width="14" style="7" customWidth="1"/>
    <col min="15615" max="15615" width="8.875" style="7" customWidth="1"/>
    <col min="15616" max="15616" width="15.25" style="7" customWidth="1"/>
    <col min="15617" max="15617" width="16.375" style="7" customWidth="1"/>
    <col min="15618" max="15618" width="8.875" style="7" customWidth="1"/>
    <col min="15619" max="15619" width="9.625" style="7" customWidth="1"/>
    <col min="15620" max="15620" width="8.75" style="7" customWidth="1"/>
    <col min="15621" max="15621" width="12.375" style="7" customWidth="1"/>
    <col min="15622" max="15622" width="8.75" style="7" customWidth="1"/>
    <col min="15623" max="15623" width="11.5" style="7" customWidth="1"/>
    <col min="15624" max="15624" width="6.625" style="7" customWidth="1"/>
    <col min="15625" max="15625" width="11.25" style="7" customWidth="1"/>
    <col min="15626" max="15843" width="9" style="7" customWidth="1"/>
    <col min="15844" max="15844" width="9.625" style="7" customWidth="1"/>
    <col min="15845" max="15845" width="7.625" style="7" customWidth="1"/>
    <col min="15846" max="15846" width="18.5" style="7" customWidth="1"/>
    <col min="15847" max="15847" width="6.625" style="7" customWidth="1"/>
    <col min="15848" max="15848" width="12.25" style="7" customWidth="1"/>
    <col min="15849" max="15849" width="8" style="7" customWidth="1"/>
    <col min="15850" max="15850" width="10.625" style="7" customWidth="1"/>
    <col min="15851" max="15851" width="8" style="7" customWidth="1"/>
    <col min="15852" max="15852" width="11.375" style="7" customWidth="1"/>
    <col min="15853" max="15853" width="11.5" style="7" customWidth="1"/>
    <col min="15854" max="15854" width="8" style="7" customWidth="1"/>
    <col min="15855" max="15855" width="11.25" style="7" customWidth="1"/>
    <col min="15856" max="15856" width="8" style="7" customWidth="1"/>
    <col min="15857" max="15857" width="10.875" style="7" customWidth="1"/>
    <col min="15858" max="15858" width="12.25" style="7" customWidth="1"/>
    <col min="15859" max="15859" width="8" style="7" customWidth="1"/>
    <col min="15860" max="15860" width="11.875" style="7" customWidth="1"/>
    <col min="15861" max="15861" width="8" style="7" customWidth="1"/>
    <col min="15862" max="15862" width="11" style="7" customWidth="1"/>
    <col min="15863" max="15863" width="12.25" style="7" customWidth="1"/>
    <col min="15864" max="15864" width="8" style="7" customWidth="1"/>
    <col min="15865" max="15865" width="11.875" style="7" customWidth="1"/>
    <col min="15866" max="15866" width="8" style="7" customWidth="1"/>
    <col min="15867" max="15867" width="12.25" style="7" customWidth="1"/>
    <col min="15868" max="15868" width="14.25" style="7" customWidth="1"/>
    <col min="15869" max="15869" width="8" style="7" customWidth="1"/>
    <col min="15870" max="15870" width="14" style="7" customWidth="1"/>
    <col min="15871" max="15871" width="8.875" style="7" customWidth="1"/>
    <col min="15872" max="15872" width="15.25" style="7" customWidth="1"/>
    <col min="15873" max="15873" width="16.375" style="7" customWidth="1"/>
    <col min="15874" max="15874" width="8.875" style="7" customWidth="1"/>
    <col min="15875" max="15875" width="9.625" style="7" customWidth="1"/>
    <col min="15876" max="15876" width="8.75" style="7" customWidth="1"/>
    <col min="15877" max="15877" width="12.375" style="7" customWidth="1"/>
    <col min="15878" max="15878" width="8.75" style="7" customWidth="1"/>
    <col min="15879" max="15879" width="11.5" style="7" customWidth="1"/>
    <col min="15880" max="15880" width="6.625" style="7" customWidth="1"/>
    <col min="15881" max="15881" width="11.25" style="7" customWidth="1"/>
    <col min="15882" max="16099" width="9" style="7" customWidth="1"/>
    <col min="16100" max="16100" width="9.625" style="7" customWidth="1"/>
    <col min="16101" max="16101" width="7.625" style="7" customWidth="1"/>
    <col min="16102" max="16102" width="18.5" style="7" customWidth="1"/>
    <col min="16103" max="16103" width="6.625" style="7" customWidth="1"/>
    <col min="16104" max="16104" width="12.25" style="7" customWidth="1"/>
    <col min="16105" max="16105" width="8" style="7" customWidth="1"/>
    <col min="16106" max="16106" width="10.625" style="7" customWidth="1"/>
    <col min="16107" max="16107" width="8" style="7" customWidth="1"/>
    <col min="16108" max="16108" width="11.375" style="7" customWidth="1"/>
    <col min="16109" max="16109" width="11.5" style="7" customWidth="1"/>
    <col min="16110" max="16110" width="8" style="7" customWidth="1"/>
    <col min="16111" max="16111" width="11.25" style="7" customWidth="1"/>
    <col min="16112" max="16112" width="8" style="7" customWidth="1"/>
    <col min="16113" max="16113" width="10.875" style="7" customWidth="1"/>
    <col min="16114" max="16114" width="12.25" style="7" customWidth="1"/>
    <col min="16115" max="16115" width="8" style="7" customWidth="1"/>
    <col min="16116" max="16116" width="11.875" style="7" customWidth="1"/>
    <col min="16117" max="16117" width="8" style="7" customWidth="1"/>
    <col min="16118" max="16118" width="11" style="7" customWidth="1"/>
    <col min="16119" max="16119" width="12.25" style="7" customWidth="1"/>
    <col min="16120" max="16120" width="8" style="7" customWidth="1"/>
    <col min="16121" max="16121" width="11.875" style="7" customWidth="1"/>
    <col min="16122" max="16122" width="8" style="7" customWidth="1"/>
    <col min="16123" max="16123" width="12.25" style="7" customWidth="1"/>
    <col min="16124" max="16124" width="14.25" style="7" customWidth="1"/>
    <col min="16125" max="16125" width="8" style="7" customWidth="1"/>
    <col min="16126" max="16126" width="14" style="7" customWidth="1"/>
    <col min="16127" max="16127" width="8.875" style="7" customWidth="1"/>
    <col min="16128" max="16128" width="15.25" style="7" customWidth="1"/>
    <col min="16129" max="16129" width="16.375" style="7" customWidth="1"/>
    <col min="16130" max="16130" width="8.875" style="7" customWidth="1"/>
    <col min="16131" max="16131" width="9.625" style="7" customWidth="1"/>
    <col min="16132" max="16132" width="8.75" style="7" customWidth="1"/>
    <col min="16133" max="16133" width="12.375" style="7" customWidth="1"/>
    <col min="16134" max="16134" width="8.75" style="7" customWidth="1"/>
    <col min="16135" max="16135" width="11.5" style="7" customWidth="1"/>
    <col min="16136" max="16136" width="6.625" style="7" customWidth="1"/>
    <col min="16137" max="16137" width="11.25" style="7" customWidth="1"/>
    <col min="16138" max="16382" width="9" style="7" customWidth="1"/>
    <col min="16383" max="16384" width="9" style="7"/>
  </cols>
  <sheetData>
    <row r="2" spans="1:16" ht="30" customHeight="1" thickBot="1" x14ac:dyDescent="0.35">
      <c r="A2" s="119" t="s">
        <v>615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</row>
    <row r="3" spans="1:16" ht="20.100000000000001" customHeight="1" thickBo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57" t="s">
        <v>740</v>
      </c>
      <c r="P3" s="60">
        <f>SUM(I67)</f>
        <v>142000</v>
      </c>
    </row>
    <row r="4" spans="1:16" ht="20.100000000000001" customHeight="1" thickBot="1" x14ac:dyDescent="0.35">
      <c r="O4" s="57" t="s">
        <v>1</v>
      </c>
      <c r="P4" s="60">
        <f>SUM(O67)</f>
        <v>79562000</v>
      </c>
    </row>
    <row r="5" spans="1:16" ht="20.100000000000001" customHeight="1" thickBot="1" x14ac:dyDescent="0.35">
      <c r="O5" s="9"/>
      <c r="P5" s="9"/>
    </row>
    <row r="6" spans="1:16" s="5" customFormat="1" ht="20.100000000000001" customHeight="1" x14ac:dyDescent="0.3">
      <c r="A6" s="120" t="s">
        <v>2</v>
      </c>
      <c r="B6" s="122" t="s">
        <v>3</v>
      </c>
      <c r="C6" s="124" t="s">
        <v>4</v>
      </c>
      <c r="D6" s="124" t="s">
        <v>5</v>
      </c>
      <c r="E6" s="126" t="s">
        <v>6</v>
      </c>
      <c r="F6" s="128" t="s">
        <v>7</v>
      </c>
      <c r="G6" s="124" t="s">
        <v>8</v>
      </c>
      <c r="H6" s="129" t="s">
        <v>9</v>
      </c>
      <c r="I6" s="131" t="s">
        <v>10</v>
      </c>
      <c r="J6" s="129" t="s">
        <v>11</v>
      </c>
      <c r="K6" s="129" t="s">
        <v>12</v>
      </c>
      <c r="L6" s="129" t="s">
        <v>13</v>
      </c>
      <c r="M6" s="129" t="s">
        <v>14</v>
      </c>
      <c r="N6" s="129" t="s">
        <v>15</v>
      </c>
      <c r="O6" s="131" t="s">
        <v>16</v>
      </c>
      <c r="P6" s="116" t="s">
        <v>17</v>
      </c>
    </row>
    <row r="7" spans="1:16" s="10" customFormat="1" ht="20.100000000000001" customHeight="1" thickBot="1" x14ac:dyDescent="0.35">
      <c r="A7" s="121"/>
      <c r="B7" s="123"/>
      <c r="C7" s="125"/>
      <c r="D7" s="125"/>
      <c r="E7" s="127"/>
      <c r="F7" s="127"/>
      <c r="G7" s="125"/>
      <c r="H7" s="130"/>
      <c r="I7" s="132"/>
      <c r="J7" s="130"/>
      <c r="K7" s="130"/>
      <c r="L7" s="130"/>
      <c r="M7" s="130"/>
      <c r="N7" s="130"/>
      <c r="O7" s="132"/>
      <c r="P7" s="117"/>
    </row>
    <row r="8" spans="1:16" s="10" customFormat="1" ht="20.100000000000001" customHeight="1" x14ac:dyDescent="0.3">
      <c r="A8" s="143" t="s">
        <v>616</v>
      </c>
      <c r="B8" s="11">
        <v>7425</v>
      </c>
      <c r="C8" s="12" t="s">
        <v>617</v>
      </c>
      <c r="D8" s="12">
        <v>2896</v>
      </c>
      <c r="E8" s="12">
        <v>239</v>
      </c>
      <c r="F8" s="12">
        <v>205</v>
      </c>
      <c r="G8" s="12">
        <v>478</v>
      </c>
      <c r="H8" s="13">
        <v>1060</v>
      </c>
      <c r="I8" s="46">
        <v>0</v>
      </c>
      <c r="J8" s="14"/>
      <c r="K8" s="14"/>
      <c r="L8" s="14"/>
      <c r="M8" s="14"/>
      <c r="N8" s="14"/>
      <c r="O8" s="51">
        <f>SUM(I8*H8)</f>
        <v>0</v>
      </c>
      <c r="P8" s="27"/>
    </row>
    <row r="9" spans="1:16" s="10" customFormat="1" ht="20.100000000000001" customHeight="1" x14ac:dyDescent="0.3">
      <c r="A9" s="137"/>
      <c r="B9" s="15">
        <v>7427</v>
      </c>
      <c r="C9" s="16" t="s">
        <v>618</v>
      </c>
      <c r="D9" s="16">
        <v>1156</v>
      </c>
      <c r="E9" s="16">
        <v>180</v>
      </c>
      <c r="F9" s="16">
        <v>154</v>
      </c>
      <c r="G9" s="16">
        <v>360</v>
      </c>
      <c r="H9" s="17">
        <v>1520</v>
      </c>
      <c r="I9" s="47">
        <v>0</v>
      </c>
      <c r="J9" s="18"/>
      <c r="K9" s="18"/>
      <c r="L9" s="18"/>
      <c r="M9" s="18"/>
      <c r="N9" s="18"/>
      <c r="O9" s="51">
        <f t="shared" ref="O9:O65" si="0">SUM(I9*H9)</f>
        <v>0</v>
      </c>
      <c r="P9" s="30"/>
    </row>
    <row r="10" spans="1:16" s="10" customFormat="1" ht="20.100000000000001" customHeight="1" x14ac:dyDescent="0.3">
      <c r="A10" s="137"/>
      <c r="B10" s="45">
        <v>7429</v>
      </c>
      <c r="C10" s="32" t="s">
        <v>619</v>
      </c>
      <c r="D10" s="32">
        <v>2823</v>
      </c>
      <c r="E10" s="32">
        <v>1321</v>
      </c>
      <c r="F10" s="32">
        <v>1064</v>
      </c>
      <c r="G10" s="32">
        <v>2642</v>
      </c>
      <c r="H10" s="33">
        <v>860</v>
      </c>
      <c r="I10" s="50">
        <v>1000</v>
      </c>
      <c r="J10" s="34"/>
      <c r="K10" s="34"/>
      <c r="L10" s="34"/>
      <c r="M10" s="34"/>
      <c r="N10" s="34"/>
      <c r="O10" s="51">
        <f t="shared" si="0"/>
        <v>860000</v>
      </c>
      <c r="P10" s="30"/>
    </row>
    <row r="11" spans="1:16" s="10" customFormat="1" ht="20.100000000000001" customHeight="1" x14ac:dyDescent="0.3">
      <c r="A11" s="137"/>
      <c r="B11" s="45">
        <v>7431</v>
      </c>
      <c r="C11" s="32" t="s">
        <v>620</v>
      </c>
      <c r="D11" s="32">
        <v>3460</v>
      </c>
      <c r="E11" s="32">
        <v>1219</v>
      </c>
      <c r="F11" s="32">
        <v>1080</v>
      </c>
      <c r="G11" s="32">
        <v>2438</v>
      </c>
      <c r="H11" s="33">
        <v>990</v>
      </c>
      <c r="I11" s="50">
        <v>0</v>
      </c>
      <c r="J11" s="34"/>
      <c r="K11" s="34"/>
      <c r="L11" s="34"/>
      <c r="M11" s="34"/>
      <c r="N11" s="34"/>
      <c r="O11" s="51">
        <f t="shared" si="0"/>
        <v>0</v>
      </c>
      <c r="P11" s="30"/>
    </row>
    <row r="12" spans="1:16" s="10" customFormat="1" ht="20.100000000000001" customHeight="1" x14ac:dyDescent="0.3">
      <c r="A12" s="137"/>
      <c r="B12" s="45">
        <v>7433</v>
      </c>
      <c r="C12" s="32" t="s">
        <v>621</v>
      </c>
      <c r="D12" s="32">
        <v>1241</v>
      </c>
      <c r="E12" s="32">
        <v>856</v>
      </c>
      <c r="F12" s="32">
        <v>827</v>
      </c>
      <c r="G12" s="32">
        <v>1712</v>
      </c>
      <c r="H12" s="33">
        <v>1260</v>
      </c>
      <c r="I12" s="50">
        <v>1000</v>
      </c>
      <c r="J12" s="34"/>
      <c r="K12" s="34"/>
      <c r="L12" s="34"/>
      <c r="M12" s="34"/>
      <c r="N12" s="34"/>
      <c r="O12" s="51">
        <f t="shared" si="0"/>
        <v>1260000</v>
      </c>
      <c r="P12" s="30"/>
    </row>
    <row r="13" spans="1:16" s="10" customFormat="1" ht="20.100000000000001" customHeight="1" x14ac:dyDescent="0.3">
      <c r="A13" s="137"/>
      <c r="B13" s="45">
        <v>7435</v>
      </c>
      <c r="C13" s="32" t="s">
        <v>622</v>
      </c>
      <c r="D13" s="32">
        <v>1171</v>
      </c>
      <c r="E13" s="32">
        <v>531</v>
      </c>
      <c r="F13" s="32">
        <v>457</v>
      </c>
      <c r="G13" s="32">
        <v>1062</v>
      </c>
      <c r="H13" s="33">
        <v>1720</v>
      </c>
      <c r="I13" s="50">
        <v>500</v>
      </c>
      <c r="J13" s="34"/>
      <c r="K13" s="34"/>
      <c r="L13" s="34"/>
      <c r="M13" s="34"/>
      <c r="N13" s="34"/>
      <c r="O13" s="51">
        <f t="shared" si="0"/>
        <v>860000</v>
      </c>
      <c r="P13" s="30"/>
    </row>
    <row r="14" spans="1:16" s="10" customFormat="1" ht="20.100000000000001" customHeight="1" x14ac:dyDescent="0.3">
      <c r="A14" s="137"/>
      <c r="B14" s="45">
        <v>7437</v>
      </c>
      <c r="C14" s="32" t="s">
        <v>623</v>
      </c>
      <c r="D14" s="32">
        <v>498</v>
      </c>
      <c r="E14" s="32">
        <v>262</v>
      </c>
      <c r="F14" s="32">
        <v>257</v>
      </c>
      <c r="G14" s="32">
        <v>524</v>
      </c>
      <c r="H14" s="33">
        <v>2120</v>
      </c>
      <c r="I14" s="50">
        <v>500</v>
      </c>
      <c r="J14" s="34"/>
      <c r="K14" s="34"/>
      <c r="L14" s="34"/>
      <c r="M14" s="34"/>
      <c r="N14" s="34"/>
      <c r="O14" s="51">
        <f t="shared" si="0"/>
        <v>1060000</v>
      </c>
      <c r="P14" s="30"/>
    </row>
    <row r="15" spans="1:16" s="10" customFormat="1" ht="20.100000000000001" customHeight="1" x14ac:dyDescent="0.3">
      <c r="A15" s="137"/>
      <c r="B15" s="45">
        <v>7439</v>
      </c>
      <c r="C15" s="32" t="s">
        <v>624</v>
      </c>
      <c r="D15" s="32">
        <v>419</v>
      </c>
      <c r="E15" s="32">
        <v>188</v>
      </c>
      <c r="F15" s="32">
        <v>207</v>
      </c>
      <c r="G15" s="32">
        <v>376</v>
      </c>
      <c r="H15" s="33">
        <v>2640</v>
      </c>
      <c r="I15" s="50">
        <v>500</v>
      </c>
      <c r="J15" s="34"/>
      <c r="K15" s="34"/>
      <c r="L15" s="34"/>
      <c r="M15" s="34"/>
      <c r="N15" s="34"/>
      <c r="O15" s="51">
        <f t="shared" si="0"/>
        <v>1320000</v>
      </c>
      <c r="P15" s="30"/>
    </row>
    <row r="16" spans="1:16" s="10" customFormat="1" ht="20.100000000000001" customHeight="1" x14ac:dyDescent="0.3">
      <c r="A16" s="137"/>
      <c r="B16" s="45">
        <v>7441</v>
      </c>
      <c r="C16" s="32" t="s">
        <v>625</v>
      </c>
      <c r="D16" s="32">
        <v>1153</v>
      </c>
      <c r="E16" s="32">
        <v>165</v>
      </c>
      <c r="F16" s="32">
        <v>140</v>
      </c>
      <c r="G16" s="32">
        <v>330</v>
      </c>
      <c r="H16" s="33">
        <v>3440</v>
      </c>
      <c r="I16" s="50">
        <v>0</v>
      </c>
      <c r="J16" s="34"/>
      <c r="K16" s="34"/>
      <c r="L16" s="34"/>
      <c r="M16" s="34"/>
      <c r="N16" s="34"/>
      <c r="O16" s="51">
        <f t="shared" si="0"/>
        <v>0</v>
      </c>
      <c r="P16" s="30"/>
    </row>
    <row r="17" spans="1:16" s="10" customFormat="1" ht="20.100000000000001" customHeight="1" x14ac:dyDescent="0.3">
      <c r="A17" s="137"/>
      <c r="B17" s="45">
        <v>7426</v>
      </c>
      <c r="C17" s="32" t="s">
        <v>626</v>
      </c>
      <c r="D17" s="32">
        <v>533</v>
      </c>
      <c r="E17" s="32">
        <v>11</v>
      </c>
      <c r="F17" s="32">
        <v>16</v>
      </c>
      <c r="G17" s="32">
        <v>22</v>
      </c>
      <c r="H17" s="33">
        <v>1440</v>
      </c>
      <c r="I17" s="50">
        <v>0</v>
      </c>
      <c r="J17" s="34"/>
      <c r="K17" s="34"/>
      <c r="L17" s="34"/>
      <c r="M17" s="34"/>
      <c r="N17" s="34"/>
      <c r="O17" s="51">
        <f t="shared" si="0"/>
        <v>0</v>
      </c>
      <c r="P17" s="30"/>
    </row>
    <row r="18" spans="1:16" s="10" customFormat="1" ht="20.100000000000001" customHeight="1" x14ac:dyDescent="0.3">
      <c r="A18" s="137"/>
      <c r="B18" s="45">
        <v>7430</v>
      </c>
      <c r="C18" s="32" t="s">
        <v>627</v>
      </c>
      <c r="D18" s="32">
        <v>987</v>
      </c>
      <c r="E18" s="32">
        <v>238</v>
      </c>
      <c r="F18" s="32">
        <v>301</v>
      </c>
      <c r="G18" s="32">
        <v>476</v>
      </c>
      <c r="H18" s="33">
        <v>1320</v>
      </c>
      <c r="I18" s="50">
        <v>500</v>
      </c>
      <c r="J18" s="34"/>
      <c r="K18" s="34"/>
      <c r="L18" s="34"/>
      <c r="M18" s="34"/>
      <c r="N18" s="34"/>
      <c r="O18" s="51">
        <f t="shared" si="0"/>
        <v>660000</v>
      </c>
      <c r="P18" s="30"/>
    </row>
    <row r="19" spans="1:16" s="10" customFormat="1" ht="20.100000000000001" customHeight="1" x14ac:dyDescent="0.3">
      <c r="A19" s="137"/>
      <c r="B19" s="45">
        <v>7432</v>
      </c>
      <c r="C19" s="32" t="s">
        <v>628</v>
      </c>
      <c r="D19" s="32">
        <v>300</v>
      </c>
      <c r="E19" s="32">
        <v>280</v>
      </c>
      <c r="F19" s="32">
        <v>296</v>
      </c>
      <c r="G19" s="32">
        <v>560</v>
      </c>
      <c r="H19" s="33">
        <v>1560</v>
      </c>
      <c r="I19" s="50">
        <v>300</v>
      </c>
      <c r="J19" s="34"/>
      <c r="K19" s="34"/>
      <c r="L19" s="34"/>
      <c r="M19" s="34"/>
      <c r="N19" s="34"/>
      <c r="O19" s="51">
        <f t="shared" si="0"/>
        <v>468000</v>
      </c>
      <c r="P19" s="30"/>
    </row>
    <row r="20" spans="1:16" s="10" customFormat="1" ht="20.100000000000001" customHeight="1" x14ac:dyDescent="0.3">
      <c r="A20" s="137"/>
      <c r="B20" s="45">
        <v>7434</v>
      </c>
      <c r="C20" s="32" t="s">
        <v>629</v>
      </c>
      <c r="D20" s="32">
        <v>359</v>
      </c>
      <c r="E20" s="32">
        <v>76</v>
      </c>
      <c r="F20" s="32">
        <v>117</v>
      </c>
      <c r="G20" s="32">
        <v>152</v>
      </c>
      <c r="H20" s="33">
        <v>2280</v>
      </c>
      <c r="I20" s="50">
        <v>0</v>
      </c>
      <c r="J20" s="34"/>
      <c r="K20" s="34"/>
      <c r="L20" s="34"/>
      <c r="M20" s="34"/>
      <c r="N20" s="34"/>
      <c r="O20" s="51">
        <f t="shared" si="0"/>
        <v>0</v>
      </c>
      <c r="P20" s="30"/>
    </row>
    <row r="21" spans="1:16" s="10" customFormat="1" ht="20.100000000000001" customHeight="1" x14ac:dyDescent="0.3">
      <c r="A21" s="137"/>
      <c r="B21" s="45">
        <v>7436</v>
      </c>
      <c r="C21" s="32" t="s">
        <v>630</v>
      </c>
      <c r="D21" s="32">
        <v>268</v>
      </c>
      <c r="E21" s="32">
        <v>118</v>
      </c>
      <c r="F21" s="32">
        <v>188</v>
      </c>
      <c r="G21" s="32">
        <v>236</v>
      </c>
      <c r="H21" s="33">
        <v>3120</v>
      </c>
      <c r="I21" s="50">
        <v>200</v>
      </c>
      <c r="J21" s="34"/>
      <c r="K21" s="34"/>
      <c r="L21" s="34"/>
      <c r="M21" s="34"/>
      <c r="N21" s="34"/>
      <c r="O21" s="51">
        <f t="shared" si="0"/>
        <v>624000</v>
      </c>
      <c r="P21" s="30"/>
    </row>
    <row r="22" spans="1:16" s="10" customFormat="1" ht="20.100000000000001" customHeight="1" x14ac:dyDescent="0.3">
      <c r="A22" s="137"/>
      <c r="B22" s="45">
        <v>7438</v>
      </c>
      <c r="C22" s="32" t="s">
        <v>631</v>
      </c>
      <c r="D22" s="32">
        <v>775</v>
      </c>
      <c r="E22" s="32">
        <v>29</v>
      </c>
      <c r="F22" s="32">
        <v>47</v>
      </c>
      <c r="G22" s="32">
        <v>58</v>
      </c>
      <c r="H22" s="33">
        <v>3720</v>
      </c>
      <c r="I22" s="50">
        <v>0</v>
      </c>
      <c r="J22" s="34"/>
      <c r="K22" s="34"/>
      <c r="L22" s="34"/>
      <c r="M22" s="34"/>
      <c r="N22" s="34"/>
      <c r="O22" s="51">
        <f t="shared" si="0"/>
        <v>0</v>
      </c>
      <c r="P22" s="30"/>
    </row>
    <row r="23" spans="1:16" s="10" customFormat="1" ht="20.100000000000001" customHeight="1" x14ac:dyDescent="0.3">
      <c r="A23" s="137"/>
      <c r="B23" s="45">
        <v>7440</v>
      </c>
      <c r="C23" s="32" t="s">
        <v>632</v>
      </c>
      <c r="D23" s="32">
        <v>961</v>
      </c>
      <c r="E23" s="32">
        <v>31</v>
      </c>
      <c r="F23" s="32">
        <v>30</v>
      </c>
      <c r="G23" s="32">
        <v>62</v>
      </c>
      <c r="H23" s="33">
        <v>4620</v>
      </c>
      <c r="I23" s="50">
        <v>0</v>
      </c>
      <c r="J23" s="34"/>
      <c r="K23" s="34"/>
      <c r="L23" s="34"/>
      <c r="M23" s="34"/>
      <c r="N23" s="34"/>
      <c r="O23" s="51">
        <f t="shared" si="0"/>
        <v>0</v>
      </c>
      <c r="P23" s="30"/>
    </row>
    <row r="24" spans="1:16" s="10" customFormat="1" ht="20.100000000000001" customHeight="1" x14ac:dyDescent="0.3">
      <c r="A24" s="137"/>
      <c r="B24" s="45">
        <v>7442</v>
      </c>
      <c r="C24" s="32" t="s">
        <v>633</v>
      </c>
      <c r="D24" s="32">
        <v>220</v>
      </c>
      <c r="E24" s="32">
        <v>70</v>
      </c>
      <c r="F24" s="32">
        <v>75</v>
      </c>
      <c r="G24" s="32">
        <v>140</v>
      </c>
      <c r="H24" s="33">
        <v>6600</v>
      </c>
      <c r="I24" s="50">
        <v>0</v>
      </c>
      <c r="J24" s="34"/>
      <c r="K24" s="34"/>
      <c r="L24" s="34"/>
      <c r="M24" s="34"/>
      <c r="N24" s="34"/>
      <c r="O24" s="51">
        <f t="shared" si="0"/>
        <v>0</v>
      </c>
      <c r="P24" s="30"/>
    </row>
    <row r="25" spans="1:16" s="10" customFormat="1" ht="20.100000000000001" customHeight="1" x14ac:dyDescent="0.3">
      <c r="A25" s="137"/>
      <c r="B25" s="45">
        <v>7443</v>
      </c>
      <c r="C25" s="32" t="s">
        <v>634</v>
      </c>
      <c r="D25" s="32">
        <v>4741</v>
      </c>
      <c r="E25" s="32">
        <v>1293</v>
      </c>
      <c r="F25" s="32">
        <v>1300</v>
      </c>
      <c r="G25" s="32">
        <v>2586</v>
      </c>
      <c r="H25" s="33">
        <v>1250</v>
      </c>
      <c r="I25" s="50">
        <v>1000</v>
      </c>
      <c r="J25" s="34"/>
      <c r="K25" s="34"/>
      <c r="L25" s="34"/>
      <c r="M25" s="34"/>
      <c r="N25" s="34"/>
      <c r="O25" s="51">
        <f t="shared" si="0"/>
        <v>1250000</v>
      </c>
      <c r="P25" s="30"/>
    </row>
    <row r="26" spans="1:16" s="10" customFormat="1" ht="20.100000000000001" customHeight="1" x14ac:dyDescent="0.3">
      <c r="A26" s="137"/>
      <c r="B26" s="45">
        <v>7445</v>
      </c>
      <c r="C26" s="32" t="s">
        <v>635</v>
      </c>
      <c r="D26" s="32">
        <v>342</v>
      </c>
      <c r="E26" s="32">
        <v>419</v>
      </c>
      <c r="F26" s="32">
        <v>400</v>
      </c>
      <c r="G26" s="32">
        <v>838</v>
      </c>
      <c r="H26" s="33">
        <v>1720</v>
      </c>
      <c r="I26" s="50">
        <v>1000</v>
      </c>
      <c r="J26" s="34"/>
      <c r="K26" s="34"/>
      <c r="L26" s="34"/>
      <c r="M26" s="34"/>
      <c r="N26" s="34"/>
      <c r="O26" s="51">
        <f t="shared" si="0"/>
        <v>1720000</v>
      </c>
      <c r="P26" s="30"/>
    </row>
    <row r="27" spans="1:16" s="10" customFormat="1" ht="20.100000000000001" customHeight="1" x14ac:dyDescent="0.3">
      <c r="A27" s="137"/>
      <c r="B27" s="45">
        <v>7444</v>
      </c>
      <c r="C27" s="32" t="s">
        <v>636</v>
      </c>
      <c r="D27" s="32">
        <v>1401</v>
      </c>
      <c r="E27" s="32">
        <v>78</v>
      </c>
      <c r="F27" s="32">
        <v>91</v>
      </c>
      <c r="G27" s="32">
        <v>156</v>
      </c>
      <c r="H27" s="33">
        <v>2100</v>
      </c>
      <c r="I27" s="50">
        <v>0</v>
      </c>
      <c r="J27" s="34"/>
      <c r="K27" s="34"/>
      <c r="L27" s="34"/>
      <c r="M27" s="34"/>
      <c r="N27" s="34"/>
      <c r="O27" s="51">
        <f t="shared" si="0"/>
        <v>0</v>
      </c>
      <c r="P27" s="30"/>
    </row>
    <row r="28" spans="1:16" s="10" customFormat="1" ht="20.100000000000001" customHeight="1" x14ac:dyDescent="0.3">
      <c r="A28" s="137"/>
      <c r="B28" s="45">
        <v>7446</v>
      </c>
      <c r="C28" s="32" t="s">
        <v>637</v>
      </c>
      <c r="D28" s="32">
        <v>481</v>
      </c>
      <c r="E28" s="32">
        <v>131</v>
      </c>
      <c r="F28" s="32">
        <v>199</v>
      </c>
      <c r="G28" s="32">
        <v>262</v>
      </c>
      <c r="H28" s="33">
        <v>2640</v>
      </c>
      <c r="I28" s="50">
        <v>500</v>
      </c>
      <c r="J28" s="34"/>
      <c r="K28" s="34"/>
      <c r="L28" s="34"/>
      <c r="M28" s="34"/>
      <c r="N28" s="34"/>
      <c r="O28" s="51">
        <f t="shared" si="0"/>
        <v>1320000</v>
      </c>
      <c r="P28" s="30"/>
    </row>
    <row r="29" spans="1:16" s="10" customFormat="1" ht="20.100000000000001" customHeight="1" x14ac:dyDescent="0.3">
      <c r="A29" s="137"/>
      <c r="B29" s="45">
        <v>7448</v>
      </c>
      <c r="C29" s="32" t="s">
        <v>638</v>
      </c>
      <c r="D29" s="32">
        <v>337</v>
      </c>
      <c r="E29" s="32">
        <v>7</v>
      </c>
      <c r="F29" s="32">
        <v>4</v>
      </c>
      <c r="G29" s="32">
        <v>14</v>
      </c>
      <c r="H29" s="33">
        <v>3540</v>
      </c>
      <c r="I29" s="50">
        <v>0</v>
      </c>
      <c r="J29" s="34"/>
      <c r="K29" s="34"/>
      <c r="L29" s="34"/>
      <c r="M29" s="34"/>
      <c r="N29" s="34"/>
      <c r="O29" s="51">
        <f t="shared" si="0"/>
        <v>0</v>
      </c>
      <c r="P29" s="30"/>
    </row>
    <row r="30" spans="1:16" s="10" customFormat="1" ht="20.100000000000001" customHeight="1" x14ac:dyDescent="0.3">
      <c r="A30" s="137"/>
      <c r="B30" s="45">
        <v>7450</v>
      </c>
      <c r="C30" s="32" t="s">
        <v>639</v>
      </c>
      <c r="D30" s="32">
        <v>20</v>
      </c>
      <c r="E30" s="32">
        <v>11</v>
      </c>
      <c r="F30" s="32">
        <v>21</v>
      </c>
      <c r="G30" s="32">
        <v>22</v>
      </c>
      <c r="H30" s="33">
        <v>5520</v>
      </c>
      <c r="I30" s="50">
        <v>500</v>
      </c>
      <c r="J30" s="34"/>
      <c r="K30" s="34"/>
      <c r="L30" s="34"/>
      <c r="M30" s="34"/>
      <c r="N30" s="34"/>
      <c r="O30" s="51">
        <f t="shared" si="0"/>
        <v>2760000</v>
      </c>
      <c r="P30" s="30"/>
    </row>
    <row r="31" spans="1:16" s="10" customFormat="1" ht="20.100000000000001" customHeight="1" x14ac:dyDescent="0.3">
      <c r="A31" s="139" t="s">
        <v>35</v>
      </c>
      <c r="B31" s="107"/>
      <c r="C31" s="107"/>
      <c r="D31" s="107"/>
      <c r="E31" s="107"/>
      <c r="F31" s="107"/>
      <c r="G31" s="107"/>
      <c r="H31" s="95"/>
      <c r="I31" s="52">
        <f>SUM(I8:I30)</f>
        <v>7500</v>
      </c>
      <c r="J31" s="19"/>
      <c r="K31" s="19"/>
      <c r="L31" s="19"/>
      <c r="M31" s="19"/>
      <c r="N31" s="19"/>
      <c r="O31" s="52">
        <f>SUM(O8:O30)</f>
        <v>14162000</v>
      </c>
      <c r="P31" s="30"/>
    </row>
    <row r="32" spans="1:16" s="10" customFormat="1" ht="20.100000000000001" customHeight="1" x14ac:dyDescent="0.3">
      <c r="A32" s="137" t="s">
        <v>640</v>
      </c>
      <c r="B32" s="15" t="s">
        <v>641</v>
      </c>
      <c r="C32" s="16" t="s">
        <v>642</v>
      </c>
      <c r="D32" s="16">
        <v>12645</v>
      </c>
      <c r="E32" s="16">
        <v>30213</v>
      </c>
      <c r="F32" s="16">
        <v>28137</v>
      </c>
      <c r="G32" s="16">
        <v>60426</v>
      </c>
      <c r="H32" s="17">
        <v>250</v>
      </c>
      <c r="I32" s="47">
        <v>30000</v>
      </c>
      <c r="J32" s="18"/>
      <c r="K32" s="18"/>
      <c r="L32" s="18"/>
      <c r="M32" s="18"/>
      <c r="N32" s="18"/>
      <c r="O32" s="51">
        <f t="shared" si="0"/>
        <v>7500000</v>
      </c>
      <c r="P32" s="30"/>
    </row>
    <row r="33" spans="1:16" s="10" customFormat="1" ht="20.100000000000001" customHeight="1" x14ac:dyDescent="0.3">
      <c r="A33" s="137"/>
      <c r="B33" s="15" t="s">
        <v>643</v>
      </c>
      <c r="C33" s="16" t="s">
        <v>644</v>
      </c>
      <c r="D33" s="16">
        <v>18398</v>
      </c>
      <c r="E33" s="16">
        <v>13409</v>
      </c>
      <c r="F33" s="16">
        <v>8333</v>
      </c>
      <c r="G33" s="16">
        <v>26818</v>
      </c>
      <c r="H33" s="17">
        <v>300</v>
      </c>
      <c r="I33" s="47">
        <v>10000</v>
      </c>
      <c r="J33" s="18"/>
      <c r="K33" s="18"/>
      <c r="L33" s="18"/>
      <c r="M33" s="18"/>
      <c r="N33" s="18"/>
      <c r="O33" s="51">
        <f t="shared" si="0"/>
        <v>3000000</v>
      </c>
      <c r="P33" s="30"/>
    </row>
    <row r="34" spans="1:16" s="10" customFormat="1" ht="20.100000000000001" customHeight="1" x14ac:dyDescent="0.3">
      <c r="A34" s="137"/>
      <c r="B34" s="15" t="s">
        <v>645</v>
      </c>
      <c r="C34" s="16" t="s">
        <v>646</v>
      </c>
      <c r="D34" s="16">
        <v>46468</v>
      </c>
      <c r="E34" s="16">
        <v>25388</v>
      </c>
      <c r="F34" s="16">
        <v>22406</v>
      </c>
      <c r="G34" s="16">
        <v>50776</v>
      </c>
      <c r="H34" s="17">
        <v>300</v>
      </c>
      <c r="I34" s="47">
        <v>10000</v>
      </c>
      <c r="J34" s="18"/>
      <c r="K34" s="18"/>
      <c r="L34" s="18"/>
      <c r="M34" s="18"/>
      <c r="N34" s="18"/>
      <c r="O34" s="51">
        <f t="shared" si="0"/>
        <v>3000000</v>
      </c>
      <c r="P34" s="30"/>
    </row>
    <row r="35" spans="1:16" s="10" customFormat="1" ht="20.100000000000001" customHeight="1" x14ac:dyDescent="0.3">
      <c r="A35" s="137"/>
      <c r="B35" s="15" t="s">
        <v>647</v>
      </c>
      <c r="C35" s="16" t="s">
        <v>648</v>
      </c>
      <c r="D35" s="16">
        <v>17176</v>
      </c>
      <c r="E35" s="16">
        <v>41114</v>
      </c>
      <c r="F35" s="16">
        <v>39867</v>
      </c>
      <c r="G35" s="16">
        <v>82228</v>
      </c>
      <c r="H35" s="17">
        <v>400</v>
      </c>
      <c r="I35" s="47">
        <v>60000</v>
      </c>
      <c r="J35" s="18"/>
      <c r="K35" s="18"/>
      <c r="L35" s="18"/>
      <c r="M35" s="18"/>
      <c r="N35" s="18"/>
      <c r="O35" s="51">
        <f t="shared" si="0"/>
        <v>24000000</v>
      </c>
      <c r="P35" s="30"/>
    </row>
    <row r="36" spans="1:16" s="10" customFormat="1" ht="20.100000000000001" customHeight="1" x14ac:dyDescent="0.3">
      <c r="A36" s="137"/>
      <c r="B36" s="15" t="s">
        <v>649</v>
      </c>
      <c r="C36" s="16" t="s">
        <v>650</v>
      </c>
      <c r="D36" s="16">
        <v>48505</v>
      </c>
      <c r="E36" s="16">
        <v>29586</v>
      </c>
      <c r="F36" s="16">
        <v>33137</v>
      </c>
      <c r="G36" s="16">
        <v>59172</v>
      </c>
      <c r="H36" s="17">
        <v>350</v>
      </c>
      <c r="I36" s="47">
        <v>10000</v>
      </c>
      <c r="J36" s="18"/>
      <c r="K36" s="18"/>
      <c r="L36" s="18"/>
      <c r="M36" s="18"/>
      <c r="N36" s="18"/>
      <c r="O36" s="51">
        <f t="shared" si="0"/>
        <v>3500000</v>
      </c>
      <c r="P36" s="30"/>
    </row>
    <row r="37" spans="1:16" s="10" customFormat="1" ht="20.100000000000001" customHeight="1" x14ac:dyDescent="0.3">
      <c r="A37" s="137"/>
      <c r="B37" s="15" t="s">
        <v>651</v>
      </c>
      <c r="C37" s="16" t="s">
        <v>652</v>
      </c>
      <c r="D37" s="16">
        <v>58897</v>
      </c>
      <c r="E37" s="16">
        <v>30218</v>
      </c>
      <c r="F37" s="16">
        <v>31333</v>
      </c>
      <c r="G37" s="16">
        <v>60436</v>
      </c>
      <c r="H37" s="17">
        <v>460</v>
      </c>
      <c r="I37" s="47">
        <v>10000</v>
      </c>
      <c r="J37" s="18"/>
      <c r="K37" s="18"/>
      <c r="L37" s="18"/>
      <c r="M37" s="18"/>
      <c r="N37" s="18"/>
      <c r="O37" s="51">
        <f t="shared" si="0"/>
        <v>4600000</v>
      </c>
      <c r="P37" s="30"/>
    </row>
    <row r="38" spans="1:16" s="10" customFormat="1" ht="20.100000000000001" customHeight="1" x14ac:dyDescent="0.3">
      <c r="A38" s="137"/>
      <c r="B38" s="15" t="s">
        <v>653</v>
      </c>
      <c r="C38" s="16" t="s">
        <v>654</v>
      </c>
      <c r="D38" s="16">
        <v>9180</v>
      </c>
      <c r="E38" s="16">
        <v>1037</v>
      </c>
      <c r="F38" s="16">
        <v>1070</v>
      </c>
      <c r="G38" s="16">
        <v>2074</v>
      </c>
      <c r="H38" s="17">
        <v>660</v>
      </c>
      <c r="I38" s="47">
        <v>0</v>
      </c>
      <c r="J38" s="18"/>
      <c r="K38" s="18"/>
      <c r="L38" s="18"/>
      <c r="M38" s="18"/>
      <c r="N38" s="18"/>
      <c r="O38" s="51">
        <f t="shared" si="0"/>
        <v>0</v>
      </c>
      <c r="P38" s="30"/>
    </row>
    <row r="39" spans="1:16" s="10" customFormat="1" ht="20.100000000000001" customHeight="1" x14ac:dyDescent="0.3">
      <c r="A39" s="137"/>
      <c r="B39" s="15" t="s">
        <v>655</v>
      </c>
      <c r="C39" s="16" t="s">
        <v>656</v>
      </c>
      <c r="D39" s="16">
        <v>10961</v>
      </c>
      <c r="E39" s="16">
        <v>1958</v>
      </c>
      <c r="F39" s="16">
        <v>2310</v>
      </c>
      <c r="G39" s="16">
        <v>3916</v>
      </c>
      <c r="H39" s="17">
        <v>1320</v>
      </c>
      <c r="I39" s="47">
        <v>0</v>
      </c>
      <c r="J39" s="18"/>
      <c r="K39" s="18"/>
      <c r="L39" s="18"/>
      <c r="M39" s="18"/>
      <c r="N39" s="18"/>
      <c r="O39" s="51">
        <f t="shared" si="0"/>
        <v>0</v>
      </c>
      <c r="P39" s="30"/>
    </row>
    <row r="40" spans="1:16" s="10" customFormat="1" ht="20.100000000000001" customHeight="1" x14ac:dyDescent="0.3">
      <c r="A40" s="139" t="s">
        <v>35</v>
      </c>
      <c r="B40" s="107"/>
      <c r="C40" s="107"/>
      <c r="D40" s="107"/>
      <c r="E40" s="107"/>
      <c r="F40" s="107"/>
      <c r="G40" s="107"/>
      <c r="H40" s="95"/>
      <c r="I40" s="52">
        <f>SUM(I32:I39)</f>
        <v>130000</v>
      </c>
      <c r="J40" s="19"/>
      <c r="K40" s="19"/>
      <c r="L40" s="19"/>
      <c r="M40" s="19"/>
      <c r="N40" s="19"/>
      <c r="O40" s="52">
        <f>SUM(O32:O39)</f>
        <v>45600000</v>
      </c>
      <c r="P40" s="30"/>
    </row>
    <row r="41" spans="1:16" s="10" customFormat="1" ht="20.100000000000001" customHeight="1" x14ac:dyDescent="0.3">
      <c r="A41" s="136" t="s">
        <v>657</v>
      </c>
      <c r="B41" s="20" t="s">
        <v>658</v>
      </c>
      <c r="C41" s="16" t="s">
        <v>659</v>
      </c>
      <c r="D41" s="16">
        <v>774</v>
      </c>
      <c r="E41" s="16">
        <v>272</v>
      </c>
      <c r="F41" s="16">
        <v>364</v>
      </c>
      <c r="G41" s="16">
        <v>544</v>
      </c>
      <c r="H41" s="33">
        <v>1000</v>
      </c>
      <c r="I41" s="47">
        <v>0</v>
      </c>
      <c r="J41" s="18"/>
      <c r="K41" s="18"/>
      <c r="L41" s="18"/>
      <c r="M41" s="18"/>
      <c r="N41" s="18"/>
      <c r="O41" s="51">
        <f t="shared" si="0"/>
        <v>0</v>
      </c>
      <c r="P41" s="30"/>
    </row>
    <row r="42" spans="1:16" s="10" customFormat="1" ht="20.100000000000001" customHeight="1" x14ac:dyDescent="0.3">
      <c r="A42" s="136"/>
      <c r="B42" s="20" t="s">
        <v>660</v>
      </c>
      <c r="C42" s="16" t="s">
        <v>661</v>
      </c>
      <c r="D42" s="16">
        <v>178</v>
      </c>
      <c r="E42" s="16">
        <v>184</v>
      </c>
      <c r="F42" s="16">
        <v>403</v>
      </c>
      <c r="G42" s="16">
        <v>368</v>
      </c>
      <c r="H42" s="33">
        <v>1200</v>
      </c>
      <c r="I42" s="47">
        <v>500</v>
      </c>
      <c r="J42" s="18"/>
      <c r="K42" s="18"/>
      <c r="L42" s="18"/>
      <c r="M42" s="18"/>
      <c r="N42" s="18"/>
      <c r="O42" s="51">
        <f t="shared" si="0"/>
        <v>600000</v>
      </c>
      <c r="P42" s="30"/>
    </row>
    <row r="43" spans="1:16" s="10" customFormat="1" ht="20.100000000000001" customHeight="1" x14ac:dyDescent="0.3">
      <c r="A43" s="136"/>
      <c r="B43" s="20" t="s">
        <v>662</v>
      </c>
      <c r="C43" s="16" t="s">
        <v>663</v>
      </c>
      <c r="D43" s="16">
        <v>1681</v>
      </c>
      <c r="E43" s="16">
        <v>59</v>
      </c>
      <c r="F43" s="16">
        <v>90</v>
      </c>
      <c r="G43" s="16">
        <v>118</v>
      </c>
      <c r="H43" s="33">
        <v>1500</v>
      </c>
      <c r="I43" s="47">
        <v>0</v>
      </c>
      <c r="J43" s="18"/>
      <c r="K43" s="18"/>
      <c r="L43" s="18"/>
      <c r="M43" s="18"/>
      <c r="N43" s="18"/>
      <c r="O43" s="51">
        <f t="shared" si="0"/>
        <v>0</v>
      </c>
      <c r="P43" s="30"/>
    </row>
    <row r="44" spans="1:16" s="10" customFormat="1" ht="20.100000000000001" customHeight="1" x14ac:dyDescent="0.3">
      <c r="A44" s="136"/>
      <c r="B44" s="20" t="s">
        <v>664</v>
      </c>
      <c r="C44" s="16" t="s">
        <v>665</v>
      </c>
      <c r="D44" s="16">
        <v>5627</v>
      </c>
      <c r="E44" s="16">
        <v>60</v>
      </c>
      <c r="F44" s="16">
        <v>17</v>
      </c>
      <c r="G44" s="16">
        <v>120</v>
      </c>
      <c r="H44" s="33">
        <v>1000</v>
      </c>
      <c r="I44" s="47">
        <v>0</v>
      </c>
      <c r="J44" s="18"/>
      <c r="K44" s="18"/>
      <c r="L44" s="18"/>
      <c r="M44" s="18"/>
      <c r="N44" s="18"/>
      <c r="O44" s="51">
        <f t="shared" si="0"/>
        <v>0</v>
      </c>
      <c r="P44" s="30"/>
    </row>
    <row r="45" spans="1:16" s="10" customFormat="1" ht="20.100000000000001" customHeight="1" x14ac:dyDescent="0.3">
      <c r="A45" s="136"/>
      <c r="B45" s="20" t="s">
        <v>666</v>
      </c>
      <c r="C45" s="16" t="s">
        <v>667</v>
      </c>
      <c r="D45" s="16">
        <v>2345</v>
      </c>
      <c r="E45" s="16">
        <v>3</v>
      </c>
      <c r="F45" s="16">
        <v>3</v>
      </c>
      <c r="G45" s="16">
        <v>6</v>
      </c>
      <c r="H45" s="33">
        <v>1200</v>
      </c>
      <c r="I45" s="47">
        <v>0</v>
      </c>
      <c r="J45" s="18"/>
      <c r="K45" s="18"/>
      <c r="L45" s="18"/>
      <c r="M45" s="18"/>
      <c r="N45" s="18"/>
      <c r="O45" s="51">
        <f t="shared" si="0"/>
        <v>0</v>
      </c>
      <c r="P45" s="30"/>
    </row>
    <row r="46" spans="1:16" s="10" customFormat="1" ht="20.100000000000001" customHeight="1" x14ac:dyDescent="0.3">
      <c r="A46" s="136"/>
      <c r="B46" s="20" t="s">
        <v>668</v>
      </c>
      <c r="C46" s="16" t="s">
        <v>669</v>
      </c>
      <c r="D46" s="16">
        <v>483</v>
      </c>
      <c r="E46" s="16">
        <v>1744</v>
      </c>
      <c r="F46" s="16">
        <v>1858</v>
      </c>
      <c r="G46" s="16">
        <v>3488</v>
      </c>
      <c r="H46" s="33">
        <v>1200</v>
      </c>
      <c r="I46" s="47">
        <v>2000</v>
      </c>
      <c r="J46" s="18"/>
      <c r="K46" s="18"/>
      <c r="L46" s="18"/>
      <c r="M46" s="18"/>
      <c r="N46" s="18"/>
      <c r="O46" s="51">
        <f t="shared" si="0"/>
        <v>2400000</v>
      </c>
      <c r="P46" s="30"/>
    </row>
    <row r="47" spans="1:16" s="10" customFormat="1" ht="20.100000000000001" customHeight="1" x14ac:dyDescent="0.3">
      <c r="A47" s="136"/>
      <c r="B47" s="20" t="s">
        <v>670</v>
      </c>
      <c r="C47" s="16" t="s">
        <v>671</v>
      </c>
      <c r="D47" s="16">
        <v>3842</v>
      </c>
      <c r="E47" s="16">
        <v>3</v>
      </c>
      <c r="F47" s="16">
        <v>3</v>
      </c>
      <c r="G47" s="16">
        <v>6</v>
      </c>
      <c r="H47" s="33">
        <v>1400</v>
      </c>
      <c r="I47" s="47">
        <v>0</v>
      </c>
      <c r="J47" s="18"/>
      <c r="K47" s="18"/>
      <c r="L47" s="18"/>
      <c r="M47" s="18"/>
      <c r="N47" s="18"/>
      <c r="O47" s="51">
        <f t="shared" si="0"/>
        <v>0</v>
      </c>
      <c r="P47" s="30"/>
    </row>
    <row r="48" spans="1:16" s="10" customFormat="1" ht="20.100000000000001" customHeight="1" x14ac:dyDescent="0.3">
      <c r="A48" s="136"/>
      <c r="B48" s="20" t="s">
        <v>672</v>
      </c>
      <c r="C48" s="16" t="s">
        <v>673</v>
      </c>
      <c r="D48" s="16">
        <v>1159</v>
      </c>
      <c r="E48" s="16">
        <v>339</v>
      </c>
      <c r="F48" s="16">
        <v>290</v>
      </c>
      <c r="G48" s="16">
        <v>678</v>
      </c>
      <c r="H48" s="33">
        <v>1100</v>
      </c>
      <c r="I48" s="47">
        <v>0</v>
      </c>
      <c r="J48" s="18"/>
      <c r="K48" s="18"/>
      <c r="L48" s="18"/>
      <c r="M48" s="18"/>
      <c r="N48" s="18"/>
      <c r="O48" s="51">
        <f t="shared" si="0"/>
        <v>0</v>
      </c>
      <c r="P48" s="30"/>
    </row>
    <row r="49" spans="1:16" s="10" customFormat="1" ht="20.100000000000001" customHeight="1" x14ac:dyDescent="0.3">
      <c r="A49" s="136"/>
      <c r="B49" s="20" t="s">
        <v>674</v>
      </c>
      <c r="C49" s="16" t="s">
        <v>675</v>
      </c>
      <c r="D49" s="16">
        <v>2844</v>
      </c>
      <c r="E49" s="16">
        <v>62</v>
      </c>
      <c r="F49" s="16">
        <v>52</v>
      </c>
      <c r="G49" s="16">
        <v>124</v>
      </c>
      <c r="H49" s="33">
        <v>1900</v>
      </c>
      <c r="I49" s="47">
        <v>0</v>
      </c>
      <c r="J49" s="18"/>
      <c r="K49" s="18"/>
      <c r="L49" s="18"/>
      <c r="M49" s="18"/>
      <c r="N49" s="18"/>
      <c r="O49" s="51">
        <f t="shared" si="0"/>
        <v>0</v>
      </c>
      <c r="P49" s="30"/>
    </row>
    <row r="50" spans="1:16" s="10" customFormat="1" ht="20.100000000000001" customHeight="1" x14ac:dyDescent="0.3">
      <c r="A50" s="139" t="s">
        <v>547</v>
      </c>
      <c r="B50" s="107"/>
      <c r="C50" s="107"/>
      <c r="D50" s="107"/>
      <c r="E50" s="107"/>
      <c r="F50" s="107"/>
      <c r="G50" s="107"/>
      <c r="H50" s="95"/>
      <c r="I50" s="52">
        <f>SUM(I41:I49)</f>
        <v>2500</v>
      </c>
      <c r="J50" s="19"/>
      <c r="K50" s="19"/>
      <c r="L50" s="19"/>
      <c r="M50" s="19"/>
      <c r="N50" s="19"/>
      <c r="O50" s="52">
        <f>SUM(O41:O49)</f>
        <v>3000000</v>
      </c>
      <c r="P50" s="30"/>
    </row>
    <row r="51" spans="1:16" s="10" customFormat="1" ht="20.100000000000001" customHeight="1" x14ac:dyDescent="0.3">
      <c r="A51" s="137" t="s">
        <v>676</v>
      </c>
      <c r="B51" s="20" t="s">
        <v>677</v>
      </c>
      <c r="C51" s="16" t="s">
        <v>678</v>
      </c>
      <c r="D51" s="16">
        <v>1388</v>
      </c>
      <c r="E51" s="16">
        <v>48</v>
      </c>
      <c r="F51" s="16">
        <v>80</v>
      </c>
      <c r="G51" s="16">
        <v>96</v>
      </c>
      <c r="H51" s="17">
        <v>8400</v>
      </c>
      <c r="I51" s="47">
        <v>0</v>
      </c>
      <c r="J51" s="18"/>
      <c r="K51" s="18"/>
      <c r="L51" s="18"/>
      <c r="M51" s="18"/>
      <c r="N51" s="18"/>
      <c r="O51" s="51">
        <f t="shared" si="0"/>
        <v>0</v>
      </c>
      <c r="P51" s="30"/>
    </row>
    <row r="52" spans="1:16" s="10" customFormat="1" ht="20.100000000000001" customHeight="1" x14ac:dyDescent="0.3">
      <c r="A52" s="137"/>
      <c r="B52" s="20" t="s">
        <v>679</v>
      </c>
      <c r="C52" s="16" t="s">
        <v>680</v>
      </c>
      <c r="D52" s="16">
        <v>4035</v>
      </c>
      <c r="E52" s="16">
        <v>379</v>
      </c>
      <c r="F52" s="16">
        <v>296</v>
      </c>
      <c r="G52" s="16">
        <v>758</v>
      </c>
      <c r="H52" s="17">
        <v>10800</v>
      </c>
      <c r="I52" s="47">
        <v>0</v>
      </c>
      <c r="J52" s="18"/>
      <c r="K52" s="18"/>
      <c r="L52" s="18"/>
      <c r="M52" s="18"/>
      <c r="N52" s="18"/>
      <c r="O52" s="51">
        <f t="shared" si="0"/>
        <v>0</v>
      </c>
      <c r="P52" s="30"/>
    </row>
    <row r="53" spans="1:16" s="10" customFormat="1" ht="20.100000000000001" customHeight="1" x14ac:dyDescent="0.3">
      <c r="A53" s="137"/>
      <c r="B53" s="20" t="s">
        <v>681</v>
      </c>
      <c r="C53" s="16" t="s">
        <v>682</v>
      </c>
      <c r="D53" s="16">
        <v>889</v>
      </c>
      <c r="E53" s="16">
        <v>50</v>
      </c>
      <c r="F53" s="16">
        <v>18</v>
      </c>
      <c r="G53" s="16">
        <v>100</v>
      </c>
      <c r="H53" s="17">
        <v>8400</v>
      </c>
      <c r="I53" s="47">
        <v>500</v>
      </c>
      <c r="J53" s="18"/>
      <c r="K53" s="18"/>
      <c r="L53" s="18"/>
      <c r="M53" s="18"/>
      <c r="N53" s="18"/>
      <c r="O53" s="51">
        <f t="shared" si="0"/>
        <v>4200000</v>
      </c>
      <c r="P53" s="30"/>
    </row>
    <row r="54" spans="1:16" s="10" customFormat="1" ht="20.100000000000001" customHeight="1" x14ac:dyDescent="0.3">
      <c r="A54" s="137"/>
      <c r="B54" s="20" t="s">
        <v>683</v>
      </c>
      <c r="C54" s="16" t="s">
        <v>684</v>
      </c>
      <c r="D54" s="16">
        <v>592</v>
      </c>
      <c r="E54" s="16">
        <v>125</v>
      </c>
      <c r="F54" s="16">
        <v>103</v>
      </c>
      <c r="G54" s="16">
        <v>250</v>
      </c>
      <c r="H54" s="17">
        <v>10800</v>
      </c>
      <c r="I54" s="47">
        <v>500</v>
      </c>
      <c r="J54" s="18"/>
      <c r="K54" s="18"/>
      <c r="L54" s="18"/>
      <c r="M54" s="18"/>
      <c r="N54" s="18"/>
      <c r="O54" s="51">
        <f t="shared" si="0"/>
        <v>5400000</v>
      </c>
      <c r="P54" s="30"/>
    </row>
    <row r="55" spans="1:16" s="10" customFormat="1" ht="20.100000000000001" customHeight="1" x14ac:dyDescent="0.3">
      <c r="A55" s="137"/>
      <c r="B55" s="20" t="s">
        <v>685</v>
      </c>
      <c r="C55" s="16" t="s">
        <v>686</v>
      </c>
      <c r="D55" s="16">
        <v>749</v>
      </c>
      <c r="E55" s="16">
        <v>52</v>
      </c>
      <c r="F55" s="16">
        <v>67</v>
      </c>
      <c r="G55" s="16">
        <v>104</v>
      </c>
      <c r="H55" s="17">
        <v>21600</v>
      </c>
      <c r="I55" s="47">
        <v>0</v>
      </c>
      <c r="J55" s="18"/>
      <c r="K55" s="18"/>
      <c r="L55" s="18"/>
      <c r="M55" s="18"/>
      <c r="N55" s="18"/>
      <c r="O55" s="51">
        <f t="shared" si="0"/>
        <v>0</v>
      </c>
      <c r="P55" s="30"/>
    </row>
    <row r="56" spans="1:16" s="10" customFormat="1" ht="20.100000000000001" customHeight="1" x14ac:dyDescent="0.3">
      <c r="A56" s="139" t="s">
        <v>35</v>
      </c>
      <c r="B56" s="107"/>
      <c r="C56" s="107"/>
      <c r="D56" s="107"/>
      <c r="E56" s="107"/>
      <c r="F56" s="107"/>
      <c r="G56" s="107"/>
      <c r="H56" s="95"/>
      <c r="I56" s="52">
        <f>SUM(I51:I55)</f>
        <v>1000</v>
      </c>
      <c r="J56" s="19"/>
      <c r="K56" s="19"/>
      <c r="L56" s="19"/>
      <c r="M56" s="19"/>
      <c r="N56" s="19"/>
      <c r="O56" s="52">
        <f>SUM(O51:O55)</f>
        <v>9600000</v>
      </c>
      <c r="P56" s="30"/>
    </row>
    <row r="57" spans="1:16" s="10" customFormat="1" ht="20.100000000000001" customHeight="1" x14ac:dyDescent="0.3">
      <c r="A57" s="137" t="s">
        <v>687</v>
      </c>
      <c r="B57" s="15" t="s">
        <v>688</v>
      </c>
      <c r="C57" s="16" t="s">
        <v>689</v>
      </c>
      <c r="D57" s="16">
        <v>1091</v>
      </c>
      <c r="E57" s="16">
        <v>781</v>
      </c>
      <c r="F57" s="16">
        <v>993</v>
      </c>
      <c r="G57" s="16">
        <v>1562</v>
      </c>
      <c r="H57" s="17">
        <v>7200</v>
      </c>
      <c r="I57" s="47">
        <v>1000</v>
      </c>
      <c r="J57" s="18"/>
      <c r="K57" s="18"/>
      <c r="L57" s="18"/>
      <c r="M57" s="18"/>
      <c r="N57" s="18"/>
      <c r="O57" s="51">
        <f t="shared" si="0"/>
        <v>7200000</v>
      </c>
      <c r="P57" s="30"/>
    </row>
    <row r="58" spans="1:16" s="10" customFormat="1" ht="20.100000000000001" customHeight="1" x14ac:dyDescent="0.3">
      <c r="A58" s="137"/>
      <c r="B58" s="15" t="s">
        <v>690</v>
      </c>
      <c r="C58" s="16" t="s">
        <v>691</v>
      </c>
      <c r="D58" s="16">
        <v>1713</v>
      </c>
      <c r="E58" s="16">
        <v>4</v>
      </c>
      <c r="F58" s="16">
        <v>4</v>
      </c>
      <c r="G58" s="16">
        <v>8</v>
      </c>
      <c r="H58" s="17">
        <v>2600</v>
      </c>
      <c r="I58" s="47">
        <v>0</v>
      </c>
      <c r="J58" s="18"/>
      <c r="K58" s="18"/>
      <c r="L58" s="18"/>
      <c r="M58" s="18"/>
      <c r="N58" s="18"/>
      <c r="O58" s="51">
        <f t="shared" si="0"/>
        <v>0</v>
      </c>
      <c r="P58" s="30"/>
    </row>
    <row r="59" spans="1:16" s="10" customFormat="1" ht="20.100000000000001" customHeight="1" x14ac:dyDescent="0.3">
      <c r="A59" s="137"/>
      <c r="B59" s="15" t="s">
        <v>692</v>
      </c>
      <c r="C59" s="16" t="s">
        <v>693</v>
      </c>
      <c r="D59" s="16">
        <v>1225</v>
      </c>
      <c r="E59" s="16">
        <v>107</v>
      </c>
      <c r="F59" s="16">
        <v>89</v>
      </c>
      <c r="G59" s="16">
        <v>214</v>
      </c>
      <c r="H59" s="17">
        <v>2600</v>
      </c>
      <c r="I59" s="47">
        <v>0</v>
      </c>
      <c r="J59" s="18"/>
      <c r="K59" s="18"/>
      <c r="L59" s="18"/>
      <c r="M59" s="18"/>
      <c r="N59" s="18"/>
      <c r="O59" s="51">
        <f t="shared" si="0"/>
        <v>0</v>
      </c>
      <c r="P59" s="30"/>
    </row>
    <row r="60" spans="1:16" s="10" customFormat="1" ht="20.100000000000001" customHeight="1" x14ac:dyDescent="0.3">
      <c r="A60" s="137"/>
      <c r="B60" s="15" t="s">
        <v>694</v>
      </c>
      <c r="C60" s="16" t="s">
        <v>695</v>
      </c>
      <c r="D60" s="16">
        <v>2484</v>
      </c>
      <c r="E60" s="16">
        <v>17</v>
      </c>
      <c r="F60" s="16">
        <v>16</v>
      </c>
      <c r="G60" s="16">
        <v>34</v>
      </c>
      <c r="H60" s="17">
        <v>2600</v>
      </c>
      <c r="I60" s="47">
        <v>0</v>
      </c>
      <c r="J60" s="18"/>
      <c r="K60" s="18"/>
      <c r="L60" s="18"/>
      <c r="M60" s="18"/>
      <c r="N60" s="18"/>
      <c r="O60" s="51">
        <f t="shared" si="0"/>
        <v>0</v>
      </c>
      <c r="P60" s="30"/>
    </row>
    <row r="61" spans="1:16" s="10" customFormat="1" ht="20.100000000000001" customHeight="1" x14ac:dyDescent="0.3">
      <c r="A61" s="137"/>
      <c r="B61" s="15" t="s">
        <v>696</v>
      </c>
      <c r="C61" s="16" t="s">
        <v>697</v>
      </c>
      <c r="D61" s="16">
        <v>1658</v>
      </c>
      <c r="E61" s="16">
        <v>0</v>
      </c>
      <c r="F61" s="16">
        <v>0</v>
      </c>
      <c r="G61" s="16">
        <v>0</v>
      </c>
      <c r="H61" s="17">
        <v>300</v>
      </c>
      <c r="I61" s="47">
        <v>0</v>
      </c>
      <c r="J61" s="18"/>
      <c r="K61" s="18"/>
      <c r="L61" s="18"/>
      <c r="M61" s="18"/>
      <c r="N61" s="18"/>
      <c r="O61" s="51">
        <f t="shared" si="0"/>
        <v>0</v>
      </c>
      <c r="P61" s="30"/>
    </row>
    <row r="62" spans="1:16" s="10" customFormat="1" ht="20.100000000000001" customHeight="1" x14ac:dyDescent="0.3">
      <c r="A62" s="137"/>
      <c r="B62" s="15" t="s">
        <v>698</v>
      </c>
      <c r="C62" s="16" t="s">
        <v>699</v>
      </c>
      <c r="D62" s="16">
        <v>0</v>
      </c>
      <c r="E62" s="16">
        <v>4</v>
      </c>
      <c r="F62" s="16">
        <v>0</v>
      </c>
      <c r="G62" s="16">
        <v>8</v>
      </c>
      <c r="H62" s="17">
        <v>7000</v>
      </c>
      <c r="I62" s="47">
        <v>0</v>
      </c>
      <c r="J62" s="18"/>
      <c r="K62" s="18"/>
      <c r="L62" s="18"/>
      <c r="M62" s="18"/>
      <c r="N62" s="18"/>
      <c r="O62" s="51">
        <f t="shared" si="0"/>
        <v>0</v>
      </c>
      <c r="P62" s="30"/>
    </row>
    <row r="63" spans="1:16" s="10" customFormat="1" ht="20.100000000000001" customHeight="1" x14ac:dyDescent="0.3">
      <c r="A63" s="137"/>
      <c r="B63" s="15" t="s">
        <v>700</v>
      </c>
      <c r="C63" s="16" t="s">
        <v>701</v>
      </c>
      <c r="D63" s="16">
        <v>0</v>
      </c>
      <c r="E63" s="16">
        <v>32</v>
      </c>
      <c r="F63" s="16">
        <v>0</v>
      </c>
      <c r="G63" s="16">
        <v>64</v>
      </c>
      <c r="H63" s="17">
        <v>7000</v>
      </c>
      <c r="I63" s="47">
        <v>0</v>
      </c>
      <c r="J63" s="18"/>
      <c r="K63" s="18"/>
      <c r="L63" s="18"/>
      <c r="M63" s="18"/>
      <c r="N63" s="18"/>
      <c r="O63" s="51">
        <f t="shared" si="0"/>
        <v>0</v>
      </c>
      <c r="P63" s="30"/>
    </row>
    <row r="64" spans="1:16" s="10" customFormat="1" ht="20.100000000000001" customHeight="1" x14ac:dyDescent="0.3">
      <c r="A64" s="137"/>
      <c r="B64" s="15" t="s">
        <v>702</v>
      </c>
      <c r="C64" s="16" t="s">
        <v>703</v>
      </c>
      <c r="D64" s="16">
        <v>0</v>
      </c>
      <c r="E64" s="16">
        <v>45</v>
      </c>
      <c r="F64" s="16">
        <v>50</v>
      </c>
      <c r="G64" s="16">
        <v>90</v>
      </c>
      <c r="H64" s="17">
        <v>7000</v>
      </c>
      <c r="I64" s="47">
        <v>0</v>
      </c>
      <c r="J64" s="18"/>
      <c r="K64" s="18"/>
      <c r="L64" s="18"/>
      <c r="M64" s="18"/>
      <c r="N64" s="18"/>
      <c r="O64" s="51">
        <f t="shared" si="0"/>
        <v>0</v>
      </c>
      <c r="P64" s="30"/>
    </row>
    <row r="65" spans="1:16" s="10" customFormat="1" ht="20.100000000000001" customHeight="1" x14ac:dyDescent="0.3">
      <c r="A65" s="137"/>
      <c r="B65" s="15" t="s">
        <v>704</v>
      </c>
      <c r="C65" s="16" t="s">
        <v>705</v>
      </c>
      <c r="D65" s="16">
        <v>12</v>
      </c>
      <c r="E65" s="16">
        <v>48</v>
      </c>
      <c r="F65" s="16">
        <v>50</v>
      </c>
      <c r="G65" s="16">
        <v>96</v>
      </c>
      <c r="H65" s="17">
        <v>7000</v>
      </c>
      <c r="I65" s="47">
        <v>0</v>
      </c>
      <c r="J65" s="18"/>
      <c r="K65" s="18"/>
      <c r="L65" s="18"/>
      <c r="M65" s="18"/>
      <c r="N65" s="18"/>
      <c r="O65" s="51">
        <f t="shared" si="0"/>
        <v>0</v>
      </c>
      <c r="P65" s="30"/>
    </row>
    <row r="66" spans="1:16" s="10" customFormat="1" ht="20.100000000000001" customHeight="1" thickBot="1" x14ac:dyDescent="0.35">
      <c r="A66" s="138" t="s">
        <v>35</v>
      </c>
      <c r="B66" s="109"/>
      <c r="C66" s="109"/>
      <c r="D66" s="109"/>
      <c r="E66" s="109"/>
      <c r="F66" s="109"/>
      <c r="G66" s="109"/>
      <c r="H66" s="110"/>
      <c r="I66" s="53">
        <f>SUM(I57:I65)</f>
        <v>1000</v>
      </c>
      <c r="J66" s="21"/>
      <c r="K66" s="21"/>
      <c r="L66" s="21"/>
      <c r="M66" s="21"/>
      <c r="N66" s="21"/>
      <c r="O66" s="53">
        <f>SUM(O57:O65)</f>
        <v>7200000</v>
      </c>
      <c r="P66" s="42"/>
    </row>
    <row r="67" spans="1:16" s="10" customFormat="1" ht="20.100000000000001" customHeight="1" thickBot="1" x14ac:dyDescent="0.35">
      <c r="A67" s="111" t="s">
        <v>251</v>
      </c>
      <c r="B67" s="112"/>
      <c r="C67" s="112"/>
      <c r="D67" s="112"/>
      <c r="E67" s="112"/>
      <c r="F67" s="112"/>
      <c r="G67" s="112"/>
      <c r="H67" s="113"/>
      <c r="I67" s="56">
        <f>SUM(I31+I40+I50+I56+I66)</f>
        <v>142000</v>
      </c>
      <c r="J67" s="23"/>
      <c r="K67" s="23"/>
      <c r="L67" s="23"/>
      <c r="M67" s="23"/>
      <c r="N67" s="23"/>
      <c r="O67" s="56">
        <f>SUM(O31+O40+O50+O56+O66)</f>
        <v>79562000</v>
      </c>
      <c r="P67" s="24"/>
    </row>
    <row r="68" spans="1:16" s="10" customFormat="1" ht="20.100000000000001" customHeight="1" x14ac:dyDescent="0.3">
      <c r="A68" s="5"/>
      <c r="B68" s="2"/>
      <c r="C68" s="3"/>
      <c r="D68" s="3"/>
      <c r="E68" s="3"/>
      <c r="F68" s="3"/>
      <c r="G68" s="3"/>
      <c r="H68" s="25"/>
      <c r="I68" s="5"/>
      <c r="J68" s="9"/>
      <c r="K68" s="9"/>
      <c r="L68" s="9"/>
      <c r="M68" s="9"/>
      <c r="N68" s="9"/>
      <c r="O68" s="9"/>
      <c r="P68" s="9"/>
    </row>
  </sheetData>
  <mergeCells count="28">
    <mergeCell ref="A2:P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A8:A30"/>
    <mergeCell ref="A31:H31"/>
    <mergeCell ref="A32:A39"/>
    <mergeCell ref="A40:H40"/>
    <mergeCell ref="A66:H66"/>
    <mergeCell ref="A67:H67"/>
    <mergeCell ref="A41:A49"/>
    <mergeCell ref="A50:H50"/>
    <mergeCell ref="A51:A55"/>
    <mergeCell ref="A56:H56"/>
    <mergeCell ref="A57:A65"/>
  </mergeCells>
  <phoneticPr fontId="9" type="noConversion"/>
  <pageMargins left="0.23622047244094491" right="0.23622047244094491" top="0.35433070866141736" bottom="0.74803149606299213" header="0.31496062992125984" footer="0.31496062992125984"/>
  <pageSetup paperSize="9" scale="74" fitToHeight="0" orientation="landscape" useFirstPageNumber="1" horizontalDpi="4294967295" verticalDpi="4294967295" r:id="rId1"/>
  <headerFooter>
    <oddFooter>&amp;N페이지 중 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N22"/>
  <sheetViews>
    <sheetView zoomScaleNormal="100" workbookViewId="0">
      <pane xSplit="6" ySplit="7" topLeftCell="G8" activePane="bottomRight" state="frozen"/>
      <selection pane="topRight"/>
      <selection pane="bottomLeft"/>
      <selection pane="bottomRight" activeCell="I13" sqref="I13"/>
    </sheetView>
  </sheetViews>
  <sheetFormatPr defaultColWidth="9" defaultRowHeight="20.100000000000001" customHeight="1" x14ac:dyDescent="0.3"/>
  <cols>
    <col min="1" max="1" width="10.625" style="1" customWidth="1"/>
    <col min="2" max="2" width="10.625" style="2" customWidth="1"/>
    <col min="3" max="3" width="40.625" style="3" customWidth="1"/>
    <col min="4" max="5" width="10.625" style="3" hidden="1" customWidth="1"/>
    <col min="6" max="6" width="10.625" style="4" hidden="1" customWidth="1"/>
    <col min="7" max="7" width="10.625" style="5" customWidth="1"/>
    <col min="8" max="13" width="10.625" style="6" customWidth="1"/>
    <col min="14" max="14" width="40.625" style="6" customWidth="1"/>
    <col min="15" max="225" width="9" style="7" customWidth="1"/>
    <col min="226" max="226" width="9.625" style="7" customWidth="1"/>
    <col min="227" max="227" width="7.625" style="7" customWidth="1"/>
    <col min="228" max="228" width="18.5" style="7" customWidth="1"/>
    <col min="229" max="229" width="6.625" style="7" customWidth="1"/>
    <col min="230" max="230" width="12.25" style="7" customWidth="1"/>
    <col min="231" max="231" width="8" style="7" customWidth="1"/>
    <col min="232" max="232" width="10.625" style="7" customWidth="1"/>
    <col min="233" max="233" width="8" style="7" customWidth="1"/>
    <col min="234" max="234" width="11.375" style="7" customWidth="1"/>
    <col min="235" max="235" width="11.5" style="7" customWidth="1"/>
    <col min="236" max="236" width="8" style="7" customWidth="1"/>
    <col min="237" max="237" width="11.25" style="7" customWidth="1"/>
    <col min="238" max="238" width="8" style="7" customWidth="1"/>
    <col min="239" max="239" width="10.875" style="7" customWidth="1"/>
    <col min="240" max="240" width="12.25" style="7" customWidth="1"/>
    <col min="241" max="241" width="8" style="7" customWidth="1"/>
    <col min="242" max="242" width="11.875" style="7" customWidth="1"/>
    <col min="243" max="243" width="8" style="7" customWidth="1"/>
    <col min="244" max="244" width="11" style="7" customWidth="1"/>
    <col min="245" max="245" width="12.25" style="7" customWidth="1"/>
    <col min="246" max="246" width="8" style="7" customWidth="1"/>
    <col min="247" max="247" width="11.875" style="7" customWidth="1"/>
    <col min="248" max="248" width="8" style="7" customWidth="1"/>
    <col min="249" max="249" width="12.25" style="7" customWidth="1"/>
    <col min="250" max="250" width="14.25" style="7" customWidth="1"/>
    <col min="251" max="251" width="8" style="7" customWidth="1"/>
    <col min="252" max="252" width="14" style="7" customWidth="1"/>
    <col min="253" max="253" width="8.875" style="7" customWidth="1"/>
    <col min="254" max="254" width="15.25" style="7" customWidth="1"/>
    <col min="255" max="255" width="16.375" style="7" customWidth="1"/>
    <col min="256" max="256" width="8.875" style="7" customWidth="1"/>
    <col min="257" max="257" width="9.625" style="7" customWidth="1"/>
    <col min="258" max="258" width="8.75" style="7" customWidth="1"/>
    <col min="259" max="259" width="12.375" style="7" customWidth="1"/>
    <col min="260" max="260" width="8.75" style="7" customWidth="1"/>
    <col min="261" max="261" width="11.5" style="7" customWidth="1"/>
    <col min="262" max="262" width="6.625" style="7" customWidth="1"/>
    <col min="263" max="263" width="11.25" style="7" customWidth="1"/>
    <col min="264" max="481" width="9" style="7" customWidth="1"/>
    <col min="482" max="482" width="9.625" style="7" customWidth="1"/>
    <col min="483" max="483" width="7.625" style="7" customWidth="1"/>
    <col min="484" max="484" width="18.5" style="7" customWidth="1"/>
    <col min="485" max="485" width="6.625" style="7" customWidth="1"/>
    <col min="486" max="486" width="12.25" style="7" customWidth="1"/>
    <col min="487" max="487" width="8" style="7" customWidth="1"/>
    <col min="488" max="488" width="10.625" style="7" customWidth="1"/>
    <col min="489" max="489" width="8" style="7" customWidth="1"/>
    <col min="490" max="490" width="11.375" style="7" customWidth="1"/>
    <col min="491" max="491" width="11.5" style="7" customWidth="1"/>
    <col min="492" max="492" width="8" style="7" customWidth="1"/>
    <col min="493" max="493" width="11.25" style="7" customWidth="1"/>
    <col min="494" max="494" width="8" style="7" customWidth="1"/>
    <col min="495" max="495" width="10.875" style="7" customWidth="1"/>
    <col min="496" max="496" width="12.25" style="7" customWidth="1"/>
    <col min="497" max="497" width="8" style="7" customWidth="1"/>
    <col min="498" max="498" width="11.875" style="7" customWidth="1"/>
    <col min="499" max="499" width="8" style="7" customWidth="1"/>
    <col min="500" max="500" width="11" style="7" customWidth="1"/>
    <col min="501" max="501" width="12.25" style="7" customWidth="1"/>
    <col min="502" max="502" width="8" style="7" customWidth="1"/>
    <col min="503" max="503" width="11.875" style="7" customWidth="1"/>
    <col min="504" max="504" width="8" style="7" customWidth="1"/>
    <col min="505" max="505" width="12.25" style="7" customWidth="1"/>
    <col min="506" max="506" width="14.25" style="7" customWidth="1"/>
    <col min="507" max="507" width="8" style="7" customWidth="1"/>
    <col min="508" max="508" width="14" style="7" customWidth="1"/>
    <col min="509" max="509" width="8.875" style="7" customWidth="1"/>
    <col min="510" max="510" width="15.25" style="7" customWidth="1"/>
    <col min="511" max="511" width="16.375" style="7" customWidth="1"/>
    <col min="512" max="512" width="8.875" style="7" customWidth="1"/>
    <col min="513" max="513" width="9.625" style="7" customWidth="1"/>
    <col min="514" max="514" width="8.75" style="7" customWidth="1"/>
    <col min="515" max="515" width="12.375" style="7" customWidth="1"/>
    <col min="516" max="516" width="8.75" style="7" customWidth="1"/>
    <col min="517" max="517" width="11.5" style="7" customWidth="1"/>
    <col min="518" max="518" width="6.625" style="7" customWidth="1"/>
    <col min="519" max="519" width="11.25" style="7" customWidth="1"/>
    <col min="520" max="737" width="9" style="7" customWidth="1"/>
    <col min="738" max="738" width="9.625" style="7" customWidth="1"/>
    <col min="739" max="739" width="7.625" style="7" customWidth="1"/>
    <col min="740" max="740" width="18.5" style="7" customWidth="1"/>
    <col min="741" max="741" width="6.625" style="7" customWidth="1"/>
    <col min="742" max="742" width="12.25" style="7" customWidth="1"/>
    <col min="743" max="743" width="8" style="7" customWidth="1"/>
    <col min="744" max="744" width="10.625" style="7" customWidth="1"/>
    <col min="745" max="745" width="8" style="7" customWidth="1"/>
    <col min="746" max="746" width="11.375" style="7" customWidth="1"/>
    <col min="747" max="747" width="11.5" style="7" customWidth="1"/>
    <col min="748" max="748" width="8" style="7" customWidth="1"/>
    <col min="749" max="749" width="11.25" style="7" customWidth="1"/>
    <col min="750" max="750" width="8" style="7" customWidth="1"/>
    <col min="751" max="751" width="10.875" style="7" customWidth="1"/>
    <col min="752" max="752" width="12.25" style="7" customWidth="1"/>
    <col min="753" max="753" width="8" style="7" customWidth="1"/>
    <col min="754" max="754" width="11.875" style="7" customWidth="1"/>
    <col min="755" max="755" width="8" style="7" customWidth="1"/>
    <col min="756" max="756" width="11" style="7" customWidth="1"/>
    <col min="757" max="757" width="12.25" style="7" customWidth="1"/>
    <col min="758" max="758" width="8" style="7" customWidth="1"/>
    <col min="759" max="759" width="11.875" style="7" customWidth="1"/>
    <col min="760" max="760" width="8" style="7" customWidth="1"/>
    <col min="761" max="761" width="12.25" style="7" customWidth="1"/>
    <col min="762" max="762" width="14.25" style="7" customWidth="1"/>
    <col min="763" max="763" width="8" style="7" customWidth="1"/>
    <col min="764" max="764" width="14" style="7" customWidth="1"/>
    <col min="765" max="765" width="8.875" style="7" customWidth="1"/>
    <col min="766" max="766" width="15.25" style="7" customWidth="1"/>
    <col min="767" max="767" width="16.375" style="7" customWidth="1"/>
    <col min="768" max="768" width="8.875" style="7" customWidth="1"/>
    <col min="769" max="769" width="9.625" style="7" customWidth="1"/>
    <col min="770" max="770" width="8.75" style="7" customWidth="1"/>
    <col min="771" max="771" width="12.375" style="7" customWidth="1"/>
    <col min="772" max="772" width="8.75" style="7" customWidth="1"/>
    <col min="773" max="773" width="11.5" style="7" customWidth="1"/>
    <col min="774" max="774" width="6.625" style="7" customWidth="1"/>
    <col min="775" max="775" width="11.25" style="7" customWidth="1"/>
    <col min="776" max="993" width="9" style="7" customWidth="1"/>
    <col min="994" max="994" width="9.625" style="7" customWidth="1"/>
    <col min="995" max="995" width="7.625" style="7" customWidth="1"/>
    <col min="996" max="996" width="18.5" style="7" customWidth="1"/>
    <col min="997" max="997" width="6.625" style="7" customWidth="1"/>
    <col min="998" max="998" width="12.25" style="7" customWidth="1"/>
    <col min="999" max="999" width="8" style="7" customWidth="1"/>
    <col min="1000" max="1000" width="10.625" style="7" customWidth="1"/>
    <col min="1001" max="1001" width="8" style="7" customWidth="1"/>
    <col min="1002" max="1002" width="11.375" style="7" customWidth="1"/>
    <col min="1003" max="1003" width="11.5" style="7" customWidth="1"/>
    <col min="1004" max="1004" width="8" style="7" customWidth="1"/>
    <col min="1005" max="1005" width="11.25" style="7" customWidth="1"/>
    <col min="1006" max="1006" width="8" style="7" customWidth="1"/>
    <col min="1007" max="1007" width="10.875" style="7" customWidth="1"/>
    <col min="1008" max="1008" width="12.25" style="7" customWidth="1"/>
    <col min="1009" max="1009" width="8" style="7" customWidth="1"/>
    <col min="1010" max="1010" width="11.875" style="7" customWidth="1"/>
    <col min="1011" max="1011" width="8" style="7" customWidth="1"/>
    <col min="1012" max="1012" width="11" style="7" customWidth="1"/>
    <col min="1013" max="1013" width="12.25" style="7" customWidth="1"/>
    <col min="1014" max="1014" width="8" style="7" customWidth="1"/>
    <col min="1015" max="1015" width="11.875" style="7" customWidth="1"/>
    <col min="1016" max="1016" width="8" style="7" customWidth="1"/>
    <col min="1017" max="1017" width="12.25" style="7" customWidth="1"/>
    <col min="1018" max="1018" width="14.25" style="7" customWidth="1"/>
    <col min="1019" max="1019" width="8" style="7" customWidth="1"/>
    <col min="1020" max="1020" width="14" style="7" customWidth="1"/>
    <col min="1021" max="1021" width="8.875" style="7" customWidth="1"/>
    <col min="1022" max="1022" width="15.25" style="7" customWidth="1"/>
    <col min="1023" max="1023" width="16.375" style="7" customWidth="1"/>
    <col min="1024" max="1024" width="8.875" style="7" customWidth="1"/>
    <col min="1025" max="1025" width="9.625" style="7" customWidth="1"/>
    <col min="1026" max="1026" width="8.75" style="7" customWidth="1"/>
    <col min="1027" max="1027" width="12.375" style="7" customWidth="1"/>
    <col min="1028" max="1028" width="8.75" style="7" customWidth="1"/>
    <col min="1029" max="1029" width="11.5" style="7" customWidth="1"/>
    <col min="1030" max="1030" width="6.625" style="7" customWidth="1"/>
    <col min="1031" max="1031" width="11.25" style="7" customWidth="1"/>
    <col min="1032" max="1249" width="9" style="7" customWidth="1"/>
    <col min="1250" max="1250" width="9.625" style="7" customWidth="1"/>
    <col min="1251" max="1251" width="7.625" style="7" customWidth="1"/>
    <col min="1252" max="1252" width="18.5" style="7" customWidth="1"/>
    <col min="1253" max="1253" width="6.625" style="7" customWidth="1"/>
    <col min="1254" max="1254" width="12.25" style="7" customWidth="1"/>
    <col min="1255" max="1255" width="8" style="7" customWidth="1"/>
    <col min="1256" max="1256" width="10.625" style="7" customWidth="1"/>
    <col min="1257" max="1257" width="8" style="7" customWidth="1"/>
    <col min="1258" max="1258" width="11.375" style="7" customWidth="1"/>
    <col min="1259" max="1259" width="11.5" style="7" customWidth="1"/>
    <col min="1260" max="1260" width="8" style="7" customWidth="1"/>
    <col min="1261" max="1261" width="11.25" style="7" customWidth="1"/>
    <col min="1262" max="1262" width="8" style="7" customWidth="1"/>
    <col min="1263" max="1263" width="10.875" style="7" customWidth="1"/>
    <col min="1264" max="1264" width="12.25" style="7" customWidth="1"/>
    <col min="1265" max="1265" width="8" style="7" customWidth="1"/>
    <col min="1266" max="1266" width="11.875" style="7" customWidth="1"/>
    <col min="1267" max="1267" width="8" style="7" customWidth="1"/>
    <col min="1268" max="1268" width="11" style="7" customWidth="1"/>
    <col min="1269" max="1269" width="12.25" style="7" customWidth="1"/>
    <col min="1270" max="1270" width="8" style="7" customWidth="1"/>
    <col min="1271" max="1271" width="11.875" style="7" customWidth="1"/>
    <col min="1272" max="1272" width="8" style="7" customWidth="1"/>
    <col min="1273" max="1273" width="12.25" style="7" customWidth="1"/>
    <col min="1274" max="1274" width="14.25" style="7" customWidth="1"/>
    <col min="1275" max="1275" width="8" style="7" customWidth="1"/>
    <col min="1276" max="1276" width="14" style="7" customWidth="1"/>
    <col min="1277" max="1277" width="8.875" style="7" customWidth="1"/>
    <col min="1278" max="1278" width="15.25" style="7" customWidth="1"/>
    <col min="1279" max="1279" width="16.375" style="7" customWidth="1"/>
    <col min="1280" max="1280" width="8.875" style="7" customWidth="1"/>
    <col min="1281" max="1281" width="9.625" style="7" customWidth="1"/>
    <col min="1282" max="1282" width="8.75" style="7" customWidth="1"/>
    <col min="1283" max="1283" width="12.375" style="7" customWidth="1"/>
    <col min="1284" max="1284" width="8.75" style="7" customWidth="1"/>
    <col min="1285" max="1285" width="11.5" style="7" customWidth="1"/>
    <col min="1286" max="1286" width="6.625" style="7" customWidth="1"/>
    <col min="1287" max="1287" width="11.25" style="7" customWidth="1"/>
    <col min="1288" max="1505" width="9" style="7" customWidth="1"/>
    <col min="1506" max="1506" width="9.625" style="7" customWidth="1"/>
    <col min="1507" max="1507" width="7.625" style="7" customWidth="1"/>
    <col min="1508" max="1508" width="18.5" style="7" customWidth="1"/>
    <col min="1509" max="1509" width="6.625" style="7" customWidth="1"/>
    <col min="1510" max="1510" width="12.25" style="7" customWidth="1"/>
    <col min="1511" max="1511" width="8" style="7" customWidth="1"/>
    <col min="1512" max="1512" width="10.625" style="7" customWidth="1"/>
    <col min="1513" max="1513" width="8" style="7" customWidth="1"/>
    <col min="1514" max="1514" width="11.375" style="7" customWidth="1"/>
    <col min="1515" max="1515" width="11.5" style="7" customWidth="1"/>
    <col min="1516" max="1516" width="8" style="7" customWidth="1"/>
    <col min="1517" max="1517" width="11.25" style="7" customWidth="1"/>
    <col min="1518" max="1518" width="8" style="7" customWidth="1"/>
    <col min="1519" max="1519" width="10.875" style="7" customWidth="1"/>
    <col min="1520" max="1520" width="12.25" style="7" customWidth="1"/>
    <col min="1521" max="1521" width="8" style="7" customWidth="1"/>
    <col min="1522" max="1522" width="11.875" style="7" customWidth="1"/>
    <col min="1523" max="1523" width="8" style="7" customWidth="1"/>
    <col min="1524" max="1524" width="11" style="7" customWidth="1"/>
    <col min="1525" max="1525" width="12.25" style="7" customWidth="1"/>
    <col min="1526" max="1526" width="8" style="7" customWidth="1"/>
    <col min="1527" max="1527" width="11.875" style="7" customWidth="1"/>
    <col min="1528" max="1528" width="8" style="7" customWidth="1"/>
    <col min="1529" max="1529" width="12.25" style="7" customWidth="1"/>
    <col min="1530" max="1530" width="14.25" style="7" customWidth="1"/>
    <col min="1531" max="1531" width="8" style="7" customWidth="1"/>
    <col min="1532" max="1532" width="14" style="7" customWidth="1"/>
    <col min="1533" max="1533" width="8.875" style="7" customWidth="1"/>
    <col min="1534" max="1534" width="15.25" style="7" customWidth="1"/>
    <col min="1535" max="1535" width="16.375" style="7" customWidth="1"/>
    <col min="1536" max="1536" width="8.875" style="7" customWidth="1"/>
    <col min="1537" max="1537" width="9.625" style="7" customWidth="1"/>
    <col min="1538" max="1538" width="8.75" style="7" customWidth="1"/>
    <col min="1539" max="1539" width="12.375" style="7" customWidth="1"/>
    <col min="1540" max="1540" width="8.75" style="7" customWidth="1"/>
    <col min="1541" max="1541" width="11.5" style="7" customWidth="1"/>
    <col min="1542" max="1542" width="6.625" style="7" customWidth="1"/>
    <col min="1543" max="1543" width="11.25" style="7" customWidth="1"/>
    <col min="1544" max="1761" width="9" style="7" customWidth="1"/>
    <col min="1762" max="1762" width="9.625" style="7" customWidth="1"/>
    <col min="1763" max="1763" width="7.625" style="7" customWidth="1"/>
    <col min="1764" max="1764" width="18.5" style="7" customWidth="1"/>
    <col min="1765" max="1765" width="6.625" style="7" customWidth="1"/>
    <col min="1766" max="1766" width="12.25" style="7" customWidth="1"/>
    <col min="1767" max="1767" width="8" style="7" customWidth="1"/>
    <col min="1768" max="1768" width="10.625" style="7" customWidth="1"/>
    <col min="1769" max="1769" width="8" style="7" customWidth="1"/>
    <col min="1770" max="1770" width="11.375" style="7" customWidth="1"/>
    <col min="1771" max="1771" width="11.5" style="7" customWidth="1"/>
    <col min="1772" max="1772" width="8" style="7" customWidth="1"/>
    <col min="1773" max="1773" width="11.25" style="7" customWidth="1"/>
    <col min="1774" max="1774" width="8" style="7" customWidth="1"/>
    <col min="1775" max="1775" width="10.875" style="7" customWidth="1"/>
    <col min="1776" max="1776" width="12.25" style="7" customWidth="1"/>
    <col min="1777" max="1777" width="8" style="7" customWidth="1"/>
    <col min="1778" max="1778" width="11.875" style="7" customWidth="1"/>
    <col min="1779" max="1779" width="8" style="7" customWidth="1"/>
    <col min="1780" max="1780" width="11" style="7" customWidth="1"/>
    <col min="1781" max="1781" width="12.25" style="7" customWidth="1"/>
    <col min="1782" max="1782" width="8" style="7" customWidth="1"/>
    <col min="1783" max="1783" width="11.875" style="7" customWidth="1"/>
    <col min="1784" max="1784" width="8" style="7" customWidth="1"/>
    <col min="1785" max="1785" width="12.25" style="7" customWidth="1"/>
    <col min="1786" max="1786" width="14.25" style="7" customWidth="1"/>
    <col min="1787" max="1787" width="8" style="7" customWidth="1"/>
    <col min="1788" max="1788" width="14" style="7" customWidth="1"/>
    <col min="1789" max="1789" width="8.875" style="7" customWidth="1"/>
    <col min="1790" max="1790" width="15.25" style="7" customWidth="1"/>
    <col min="1791" max="1791" width="16.375" style="7" customWidth="1"/>
    <col min="1792" max="1792" width="8.875" style="7" customWidth="1"/>
    <col min="1793" max="1793" width="9.625" style="7" customWidth="1"/>
    <col min="1794" max="1794" width="8.75" style="7" customWidth="1"/>
    <col min="1795" max="1795" width="12.375" style="7" customWidth="1"/>
    <col min="1796" max="1796" width="8.75" style="7" customWidth="1"/>
    <col min="1797" max="1797" width="11.5" style="7" customWidth="1"/>
    <col min="1798" max="1798" width="6.625" style="7" customWidth="1"/>
    <col min="1799" max="1799" width="11.25" style="7" customWidth="1"/>
    <col min="1800" max="2017" width="9" style="7" customWidth="1"/>
    <col min="2018" max="2018" width="9.625" style="7" customWidth="1"/>
    <col min="2019" max="2019" width="7.625" style="7" customWidth="1"/>
    <col min="2020" max="2020" width="18.5" style="7" customWidth="1"/>
    <col min="2021" max="2021" width="6.625" style="7" customWidth="1"/>
    <col min="2022" max="2022" width="12.25" style="7" customWidth="1"/>
    <col min="2023" max="2023" width="8" style="7" customWidth="1"/>
    <col min="2024" max="2024" width="10.625" style="7" customWidth="1"/>
    <col min="2025" max="2025" width="8" style="7" customWidth="1"/>
    <col min="2026" max="2026" width="11.375" style="7" customWidth="1"/>
    <col min="2027" max="2027" width="11.5" style="7" customWidth="1"/>
    <col min="2028" max="2028" width="8" style="7" customWidth="1"/>
    <col min="2029" max="2029" width="11.25" style="7" customWidth="1"/>
    <col min="2030" max="2030" width="8" style="7" customWidth="1"/>
    <col min="2031" max="2031" width="10.875" style="7" customWidth="1"/>
    <col min="2032" max="2032" width="12.25" style="7" customWidth="1"/>
    <col min="2033" max="2033" width="8" style="7" customWidth="1"/>
    <col min="2034" max="2034" width="11.875" style="7" customWidth="1"/>
    <col min="2035" max="2035" width="8" style="7" customWidth="1"/>
    <col min="2036" max="2036" width="11" style="7" customWidth="1"/>
    <col min="2037" max="2037" width="12.25" style="7" customWidth="1"/>
    <col min="2038" max="2038" width="8" style="7" customWidth="1"/>
    <col min="2039" max="2039" width="11.875" style="7" customWidth="1"/>
    <col min="2040" max="2040" width="8" style="7" customWidth="1"/>
    <col min="2041" max="2041" width="12.25" style="7" customWidth="1"/>
    <col min="2042" max="2042" width="14.25" style="7" customWidth="1"/>
    <col min="2043" max="2043" width="8" style="7" customWidth="1"/>
    <col min="2044" max="2044" width="14" style="7" customWidth="1"/>
    <col min="2045" max="2045" width="8.875" style="7" customWidth="1"/>
    <col min="2046" max="2046" width="15.25" style="7" customWidth="1"/>
    <col min="2047" max="2047" width="16.375" style="7" customWidth="1"/>
    <col min="2048" max="2048" width="8.875" style="7" customWidth="1"/>
    <col min="2049" max="2049" width="9.625" style="7" customWidth="1"/>
    <col min="2050" max="2050" width="8.75" style="7" customWidth="1"/>
    <col min="2051" max="2051" width="12.375" style="7" customWidth="1"/>
    <col min="2052" max="2052" width="8.75" style="7" customWidth="1"/>
    <col min="2053" max="2053" width="11.5" style="7" customWidth="1"/>
    <col min="2054" max="2054" width="6.625" style="7" customWidth="1"/>
    <col min="2055" max="2055" width="11.25" style="7" customWidth="1"/>
    <col min="2056" max="2273" width="9" style="7" customWidth="1"/>
    <col min="2274" max="2274" width="9.625" style="7" customWidth="1"/>
    <col min="2275" max="2275" width="7.625" style="7" customWidth="1"/>
    <col min="2276" max="2276" width="18.5" style="7" customWidth="1"/>
    <col min="2277" max="2277" width="6.625" style="7" customWidth="1"/>
    <col min="2278" max="2278" width="12.25" style="7" customWidth="1"/>
    <col min="2279" max="2279" width="8" style="7" customWidth="1"/>
    <col min="2280" max="2280" width="10.625" style="7" customWidth="1"/>
    <col min="2281" max="2281" width="8" style="7" customWidth="1"/>
    <col min="2282" max="2282" width="11.375" style="7" customWidth="1"/>
    <col min="2283" max="2283" width="11.5" style="7" customWidth="1"/>
    <col min="2284" max="2284" width="8" style="7" customWidth="1"/>
    <col min="2285" max="2285" width="11.25" style="7" customWidth="1"/>
    <col min="2286" max="2286" width="8" style="7" customWidth="1"/>
    <col min="2287" max="2287" width="10.875" style="7" customWidth="1"/>
    <col min="2288" max="2288" width="12.25" style="7" customWidth="1"/>
    <col min="2289" max="2289" width="8" style="7" customWidth="1"/>
    <col min="2290" max="2290" width="11.875" style="7" customWidth="1"/>
    <col min="2291" max="2291" width="8" style="7" customWidth="1"/>
    <col min="2292" max="2292" width="11" style="7" customWidth="1"/>
    <col min="2293" max="2293" width="12.25" style="7" customWidth="1"/>
    <col min="2294" max="2294" width="8" style="7" customWidth="1"/>
    <col min="2295" max="2295" width="11.875" style="7" customWidth="1"/>
    <col min="2296" max="2296" width="8" style="7" customWidth="1"/>
    <col min="2297" max="2297" width="12.25" style="7" customWidth="1"/>
    <col min="2298" max="2298" width="14.25" style="7" customWidth="1"/>
    <col min="2299" max="2299" width="8" style="7" customWidth="1"/>
    <col min="2300" max="2300" width="14" style="7" customWidth="1"/>
    <col min="2301" max="2301" width="8.875" style="7" customWidth="1"/>
    <col min="2302" max="2302" width="15.25" style="7" customWidth="1"/>
    <col min="2303" max="2303" width="16.375" style="7" customWidth="1"/>
    <col min="2304" max="2304" width="8.875" style="7" customWidth="1"/>
    <col min="2305" max="2305" width="9.625" style="7" customWidth="1"/>
    <col min="2306" max="2306" width="8.75" style="7" customWidth="1"/>
    <col min="2307" max="2307" width="12.375" style="7" customWidth="1"/>
    <col min="2308" max="2308" width="8.75" style="7" customWidth="1"/>
    <col min="2309" max="2309" width="11.5" style="7" customWidth="1"/>
    <col min="2310" max="2310" width="6.625" style="7" customWidth="1"/>
    <col min="2311" max="2311" width="11.25" style="7" customWidth="1"/>
    <col min="2312" max="2529" width="9" style="7" customWidth="1"/>
    <col min="2530" max="2530" width="9.625" style="7" customWidth="1"/>
    <col min="2531" max="2531" width="7.625" style="7" customWidth="1"/>
    <col min="2532" max="2532" width="18.5" style="7" customWidth="1"/>
    <col min="2533" max="2533" width="6.625" style="7" customWidth="1"/>
    <col min="2534" max="2534" width="12.25" style="7" customWidth="1"/>
    <col min="2535" max="2535" width="8" style="7" customWidth="1"/>
    <col min="2536" max="2536" width="10.625" style="7" customWidth="1"/>
    <col min="2537" max="2537" width="8" style="7" customWidth="1"/>
    <col min="2538" max="2538" width="11.375" style="7" customWidth="1"/>
    <col min="2539" max="2539" width="11.5" style="7" customWidth="1"/>
    <col min="2540" max="2540" width="8" style="7" customWidth="1"/>
    <col min="2541" max="2541" width="11.25" style="7" customWidth="1"/>
    <col min="2542" max="2542" width="8" style="7" customWidth="1"/>
    <col min="2543" max="2543" width="10.875" style="7" customWidth="1"/>
    <col min="2544" max="2544" width="12.25" style="7" customWidth="1"/>
    <col min="2545" max="2545" width="8" style="7" customWidth="1"/>
    <col min="2546" max="2546" width="11.875" style="7" customWidth="1"/>
    <col min="2547" max="2547" width="8" style="7" customWidth="1"/>
    <col min="2548" max="2548" width="11" style="7" customWidth="1"/>
    <col min="2549" max="2549" width="12.25" style="7" customWidth="1"/>
    <col min="2550" max="2550" width="8" style="7" customWidth="1"/>
    <col min="2551" max="2551" width="11.875" style="7" customWidth="1"/>
    <col min="2552" max="2552" width="8" style="7" customWidth="1"/>
    <col min="2553" max="2553" width="12.25" style="7" customWidth="1"/>
    <col min="2554" max="2554" width="14.25" style="7" customWidth="1"/>
    <col min="2555" max="2555" width="8" style="7" customWidth="1"/>
    <col min="2556" max="2556" width="14" style="7" customWidth="1"/>
    <col min="2557" max="2557" width="8.875" style="7" customWidth="1"/>
    <col min="2558" max="2558" width="15.25" style="7" customWidth="1"/>
    <col min="2559" max="2559" width="16.375" style="7" customWidth="1"/>
    <col min="2560" max="2560" width="8.875" style="7" customWidth="1"/>
    <col min="2561" max="2561" width="9.625" style="7" customWidth="1"/>
    <col min="2562" max="2562" width="8.75" style="7" customWidth="1"/>
    <col min="2563" max="2563" width="12.375" style="7" customWidth="1"/>
    <col min="2564" max="2564" width="8.75" style="7" customWidth="1"/>
    <col min="2565" max="2565" width="11.5" style="7" customWidth="1"/>
    <col min="2566" max="2566" width="6.625" style="7" customWidth="1"/>
    <col min="2567" max="2567" width="11.25" style="7" customWidth="1"/>
    <col min="2568" max="2785" width="9" style="7" customWidth="1"/>
    <col min="2786" max="2786" width="9.625" style="7" customWidth="1"/>
    <col min="2787" max="2787" width="7.625" style="7" customWidth="1"/>
    <col min="2788" max="2788" width="18.5" style="7" customWidth="1"/>
    <col min="2789" max="2789" width="6.625" style="7" customWidth="1"/>
    <col min="2790" max="2790" width="12.25" style="7" customWidth="1"/>
    <col min="2791" max="2791" width="8" style="7" customWidth="1"/>
    <col min="2792" max="2792" width="10.625" style="7" customWidth="1"/>
    <col min="2793" max="2793" width="8" style="7" customWidth="1"/>
    <col min="2794" max="2794" width="11.375" style="7" customWidth="1"/>
    <col min="2795" max="2795" width="11.5" style="7" customWidth="1"/>
    <col min="2796" max="2796" width="8" style="7" customWidth="1"/>
    <col min="2797" max="2797" width="11.25" style="7" customWidth="1"/>
    <col min="2798" max="2798" width="8" style="7" customWidth="1"/>
    <col min="2799" max="2799" width="10.875" style="7" customWidth="1"/>
    <col min="2800" max="2800" width="12.25" style="7" customWidth="1"/>
    <col min="2801" max="2801" width="8" style="7" customWidth="1"/>
    <col min="2802" max="2802" width="11.875" style="7" customWidth="1"/>
    <col min="2803" max="2803" width="8" style="7" customWidth="1"/>
    <col min="2804" max="2804" width="11" style="7" customWidth="1"/>
    <col min="2805" max="2805" width="12.25" style="7" customWidth="1"/>
    <col min="2806" max="2806" width="8" style="7" customWidth="1"/>
    <col min="2807" max="2807" width="11.875" style="7" customWidth="1"/>
    <col min="2808" max="2808" width="8" style="7" customWidth="1"/>
    <col min="2809" max="2809" width="12.25" style="7" customWidth="1"/>
    <col min="2810" max="2810" width="14.25" style="7" customWidth="1"/>
    <col min="2811" max="2811" width="8" style="7" customWidth="1"/>
    <col min="2812" max="2812" width="14" style="7" customWidth="1"/>
    <col min="2813" max="2813" width="8.875" style="7" customWidth="1"/>
    <col min="2814" max="2814" width="15.25" style="7" customWidth="1"/>
    <col min="2815" max="2815" width="16.375" style="7" customWidth="1"/>
    <col min="2816" max="2816" width="8.875" style="7" customWidth="1"/>
    <col min="2817" max="2817" width="9.625" style="7" customWidth="1"/>
    <col min="2818" max="2818" width="8.75" style="7" customWidth="1"/>
    <col min="2819" max="2819" width="12.375" style="7" customWidth="1"/>
    <col min="2820" max="2820" width="8.75" style="7" customWidth="1"/>
    <col min="2821" max="2821" width="11.5" style="7" customWidth="1"/>
    <col min="2822" max="2822" width="6.625" style="7" customWidth="1"/>
    <col min="2823" max="2823" width="11.25" style="7" customWidth="1"/>
    <col min="2824" max="3041" width="9" style="7" customWidth="1"/>
    <col min="3042" max="3042" width="9.625" style="7" customWidth="1"/>
    <col min="3043" max="3043" width="7.625" style="7" customWidth="1"/>
    <col min="3044" max="3044" width="18.5" style="7" customWidth="1"/>
    <col min="3045" max="3045" width="6.625" style="7" customWidth="1"/>
    <col min="3046" max="3046" width="12.25" style="7" customWidth="1"/>
    <col min="3047" max="3047" width="8" style="7" customWidth="1"/>
    <col min="3048" max="3048" width="10.625" style="7" customWidth="1"/>
    <col min="3049" max="3049" width="8" style="7" customWidth="1"/>
    <col min="3050" max="3050" width="11.375" style="7" customWidth="1"/>
    <col min="3051" max="3051" width="11.5" style="7" customWidth="1"/>
    <col min="3052" max="3052" width="8" style="7" customWidth="1"/>
    <col min="3053" max="3053" width="11.25" style="7" customWidth="1"/>
    <col min="3054" max="3054" width="8" style="7" customWidth="1"/>
    <col min="3055" max="3055" width="10.875" style="7" customWidth="1"/>
    <col min="3056" max="3056" width="12.25" style="7" customWidth="1"/>
    <col min="3057" max="3057" width="8" style="7" customWidth="1"/>
    <col min="3058" max="3058" width="11.875" style="7" customWidth="1"/>
    <col min="3059" max="3059" width="8" style="7" customWidth="1"/>
    <col min="3060" max="3060" width="11" style="7" customWidth="1"/>
    <col min="3061" max="3061" width="12.25" style="7" customWidth="1"/>
    <col min="3062" max="3062" width="8" style="7" customWidth="1"/>
    <col min="3063" max="3063" width="11.875" style="7" customWidth="1"/>
    <col min="3064" max="3064" width="8" style="7" customWidth="1"/>
    <col min="3065" max="3065" width="12.25" style="7" customWidth="1"/>
    <col min="3066" max="3066" width="14.25" style="7" customWidth="1"/>
    <col min="3067" max="3067" width="8" style="7" customWidth="1"/>
    <col min="3068" max="3068" width="14" style="7" customWidth="1"/>
    <col min="3069" max="3069" width="8.875" style="7" customWidth="1"/>
    <col min="3070" max="3070" width="15.25" style="7" customWidth="1"/>
    <col min="3071" max="3071" width="16.375" style="7" customWidth="1"/>
    <col min="3072" max="3072" width="8.875" style="7" customWidth="1"/>
    <col min="3073" max="3073" width="9.625" style="7" customWidth="1"/>
    <col min="3074" max="3074" width="8.75" style="7" customWidth="1"/>
    <col min="3075" max="3075" width="12.375" style="7" customWidth="1"/>
    <col min="3076" max="3076" width="8.75" style="7" customWidth="1"/>
    <col min="3077" max="3077" width="11.5" style="7" customWidth="1"/>
    <col min="3078" max="3078" width="6.625" style="7" customWidth="1"/>
    <col min="3079" max="3079" width="11.25" style="7" customWidth="1"/>
    <col min="3080" max="3297" width="9" style="7" customWidth="1"/>
    <col min="3298" max="3298" width="9.625" style="7" customWidth="1"/>
    <col min="3299" max="3299" width="7.625" style="7" customWidth="1"/>
    <col min="3300" max="3300" width="18.5" style="7" customWidth="1"/>
    <col min="3301" max="3301" width="6.625" style="7" customWidth="1"/>
    <col min="3302" max="3302" width="12.25" style="7" customWidth="1"/>
    <col min="3303" max="3303" width="8" style="7" customWidth="1"/>
    <col min="3304" max="3304" width="10.625" style="7" customWidth="1"/>
    <col min="3305" max="3305" width="8" style="7" customWidth="1"/>
    <col min="3306" max="3306" width="11.375" style="7" customWidth="1"/>
    <col min="3307" max="3307" width="11.5" style="7" customWidth="1"/>
    <col min="3308" max="3308" width="8" style="7" customWidth="1"/>
    <col min="3309" max="3309" width="11.25" style="7" customWidth="1"/>
    <col min="3310" max="3310" width="8" style="7" customWidth="1"/>
    <col min="3311" max="3311" width="10.875" style="7" customWidth="1"/>
    <col min="3312" max="3312" width="12.25" style="7" customWidth="1"/>
    <col min="3313" max="3313" width="8" style="7" customWidth="1"/>
    <col min="3314" max="3314" width="11.875" style="7" customWidth="1"/>
    <col min="3315" max="3315" width="8" style="7" customWidth="1"/>
    <col min="3316" max="3316" width="11" style="7" customWidth="1"/>
    <col min="3317" max="3317" width="12.25" style="7" customWidth="1"/>
    <col min="3318" max="3318" width="8" style="7" customWidth="1"/>
    <col min="3319" max="3319" width="11.875" style="7" customWidth="1"/>
    <col min="3320" max="3320" width="8" style="7" customWidth="1"/>
    <col min="3321" max="3321" width="12.25" style="7" customWidth="1"/>
    <col min="3322" max="3322" width="14.25" style="7" customWidth="1"/>
    <col min="3323" max="3323" width="8" style="7" customWidth="1"/>
    <col min="3324" max="3324" width="14" style="7" customWidth="1"/>
    <col min="3325" max="3325" width="8.875" style="7" customWidth="1"/>
    <col min="3326" max="3326" width="15.25" style="7" customWidth="1"/>
    <col min="3327" max="3327" width="16.375" style="7" customWidth="1"/>
    <col min="3328" max="3328" width="8.875" style="7" customWidth="1"/>
    <col min="3329" max="3329" width="9.625" style="7" customWidth="1"/>
    <col min="3330" max="3330" width="8.75" style="7" customWidth="1"/>
    <col min="3331" max="3331" width="12.375" style="7" customWidth="1"/>
    <col min="3332" max="3332" width="8.75" style="7" customWidth="1"/>
    <col min="3333" max="3333" width="11.5" style="7" customWidth="1"/>
    <col min="3334" max="3334" width="6.625" style="7" customWidth="1"/>
    <col min="3335" max="3335" width="11.25" style="7" customWidth="1"/>
    <col min="3336" max="3553" width="9" style="7" customWidth="1"/>
    <col min="3554" max="3554" width="9.625" style="7" customWidth="1"/>
    <col min="3555" max="3555" width="7.625" style="7" customWidth="1"/>
    <col min="3556" max="3556" width="18.5" style="7" customWidth="1"/>
    <col min="3557" max="3557" width="6.625" style="7" customWidth="1"/>
    <col min="3558" max="3558" width="12.25" style="7" customWidth="1"/>
    <col min="3559" max="3559" width="8" style="7" customWidth="1"/>
    <col min="3560" max="3560" width="10.625" style="7" customWidth="1"/>
    <col min="3561" max="3561" width="8" style="7" customWidth="1"/>
    <col min="3562" max="3562" width="11.375" style="7" customWidth="1"/>
    <col min="3563" max="3563" width="11.5" style="7" customWidth="1"/>
    <col min="3564" max="3564" width="8" style="7" customWidth="1"/>
    <col min="3565" max="3565" width="11.25" style="7" customWidth="1"/>
    <col min="3566" max="3566" width="8" style="7" customWidth="1"/>
    <col min="3567" max="3567" width="10.875" style="7" customWidth="1"/>
    <col min="3568" max="3568" width="12.25" style="7" customWidth="1"/>
    <col min="3569" max="3569" width="8" style="7" customWidth="1"/>
    <col min="3570" max="3570" width="11.875" style="7" customWidth="1"/>
    <col min="3571" max="3571" width="8" style="7" customWidth="1"/>
    <col min="3572" max="3572" width="11" style="7" customWidth="1"/>
    <col min="3573" max="3573" width="12.25" style="7" customWidth="1"/>
    <col min="3574" max="3574" width="8" style="7" customWidth="1"/>
    <col min="3575" max="3575" width="11.875" style="7" customWidth="1"/>
    <col min="3576" max="3576" width="8" style="7" customWidth="1"/>
    <col min="3577" max="3577" width="12.25" style="7" customWidth="1"/>
    <col min="3578" max="3578" width="14.25" style="7" customWidth="1"/>
    <col min="3579" max="3579" width="8" style="7" customWidth="1"/>
    <col min="3580" max="3580" width="14" style="7" customWidth="1"/>
    <col min="3581" max="3581" width="8.875" style="7" customWidth="1"/>
    <col min="3582" max="3582" width="15.25" style="7" customWidth="1"/>
    <col min="3583" max="3583" width="16.375" style="7" customWidth="1"/>
    <col min="3584" max="3584" width="8.875" style="7" customWidth="1"/>
    <col min="3585" max="3585" width="9.625" style="7" customWidth="1"/>
    <col min="3586" max="3586" width="8.75" style="7" customWidth="1"/>
    <col min="3587" max="3587" width="12.375" style="7" customWidth="1"/>
    <col min="3588" max="3588" width="8.75" style="7" customWidth="1"/>
    <col min="3589" max="3589" width="11.5" style="7" customWidth="1"/>
    <col min="3590" max="3590" width="6.625" style="7" customWidth="1"/>
    <col min="3591" max="3591" width="11.25" style="7" customWidth="1"/>
    <col min="3592" max="3809" width="9" style="7" customWidth="1"/>
    <col min="3810" max="3810" width="9.625" style="7" customWidth="1"/>
    <col min="3811" max="3811" width="7.625" style="7" customWidth="1"/>
    <col min="3812" max="3812" width="18.5" style="7" customWidth="1"/>
    <col min="3813" max="3813" width="6.625" style="7" customWidth="1"/>
    <col min="3814" max="3814" width="12.25" style="7" customWidth="1"/>
    <col min="3815" max="3815" width="8" style="7" customWidth="1"/>
    <col min="3816" max="3816" width="10.625" style="7" customWidth="1"/>
    <col min="3817" max="3817" width="8" style="7" customWidth="1"/>
    <col min="3818" max="3818" width="11.375" style="7" customWidth="1"/>
    <col min="3819" max="3819" width="11.5" style="7" customWidth="1"/>
    <col min="3820" max="3820" width="8" style="7" customWidth="1"/>
    <col min="3821" max="3821" width="11.25" style="7" customWidth="1"/>
    <col min="3822" max="3822" width="8" style="7" customWidth="1"/>
    <col min="3823" max="3823" width="10.875" style="7" customWidth="1"/>
    <col min="3824" max="3824" width="12.25" style="7" customWidth="1"/>
    <col min="3825" max="3825" width="8" style="7" customWidth="1"/>
    <col min="3826" max="3826" width="11.875" style="7" customWidth="1"/>
    <col min="3827" max="3827" width="8" style="7" customWidth="1"/>
    <col min="3828" max="3828" width="11" style="7" customWidth="1"/>
    <col min="3829" max="3829" width="12.25" style="7" customWidth="1"/>
    <col min="3830" max="3830" width="8" style="7" customWidth="1"/>
    <col min="3831" max="3831" width="11.875" style="7" customWidth="1"/>
    <col min="3832" max="3832" width="8" style="7" customWidth="1"/>
    <col min="3833" max="3833" width="12.25" style="7" customWidth="1"/>
    <col min="3834" max="3834" width="14.25" style="7" customWidth="1"/>
    <col min="3835" max="3835" width="8" style="7" customWidth="1"/>
    <col min="3836" max="3836" width="14" style="7" customWidth="1"/>
    <col min="3837" max="3837" width="8.875" style="7" customWidth="1"/>
    <col min="3838" max="3838" width="15.25" style="7" customWidth="1"/>
    <col min="3839" max="3839" width="16.375" style="7" customWidth="1"/>
    <col min="3840" max="3840" width="8.875" style="7" customWidth="1"/>
    <col min="3841" max="3841" width="9.625" style="7" customWidth="1"/>
    <col min="3842" max="3842" width="8.75" style="7" customWidth="1"/>
    <col min="3843" max="3843" width="12.375" style="7" customWidth="1"/>
    <col min="3844" max="3844" width="8.75" style="7" customWidth="1"/>
    <col min="3845" max="3845" width="11.5" style="7" customWidth="1"/>
    <col min="3846" max="3846" width="6.625" style="7" customWidth="1"/>
    <col min="3847" max="3847" width="11.25" style="7" customWidth="1"/>
    <col min="3848" max="4065" width="9" style="7" customWidth="1"/>
    <col min="4066" max="4066" width="9.625" style="7" customWidth="1"/>
    <col min="4067" max="4067" width="7.625" style="7" customWidth="1"/>
    <col min="4068" max="4068" width="18.5" style="7" customWidth="1"/>
    <col min="4069" max="4069" width="6.625" style="7" customWidth="1"/>
    <col min="4070" max="4070" width="12.25" style="7" customWidth="1"/>
    <col min="4071" max="4071" width="8" style="7" customWidth="1"/>
    <col min="4072" max="4072" width="10.625" style="7" customWidth="1"/>
    <col min="4073" max="4073" width="8" style="7" customWidth="1"/>
    <col min="4074" max="4074" width="11.375" style="7" customWidth="1"/>
    <col min="4075" max="4075" width="11.5" style="7" customWidth="1"/>
    <col min="4076" max="4076" width="8" style="7" customWidth="1"/>
    <col min="4077" max="4077" width="11.25" style="7" customWidth="1"/>
    <col min="4078" max="4078" width="8" style="7" customWidth="1"/>
    <col min="4079" max="4079" width="10.875" style="7" customWidth="1"/>
    <col min="4080" max="4080" width="12.25" style="7" customWidth="1"/>
    <col min="4081" max="4081" width="8" style="7" customWidth="1"/>
    <col min="4082" max="4082" width="11.875" style="7" customWidth="1"/>
    <col min="4083" max="4083" width="8" style="7" customWidth="1"/>
    <col min="4084" max="4084" width="11" style="7" customWidth="1"/>
    <col min="4085" max="4085" width="12.25" style="7" customWidth="1"/>
    <col min="4086" max="4086" width="8" style="7" customWidth="1"/>
    <col min="4087" max="4087" width="11.875" style="7" customWidth="1"/>
    <col min="4088" max="4088" width="8" style="7" customWidth="1"/>
    <col min="4089" max="4089" width="12.25" style="7" customWidth="1"/>
    <col min="4090" max="4090" width="14.25" style="7" customWidth="1"/>
    <col min="4091" max="4091" width="8" style="7" customWidth="1"/>
    <col min="4092" max="4092" width="14" style="7" customWidth="1"/>
    <col min="4093" max="4093" width="8.875" style="7" customWidth="1"/>
    <col min="4094" max="4094" width="15.25" style="7" customWidth="1"/>
    <col min="4095" max="4095" width="16.375" style="7" customWidth="1"/>
    <col min="4096" max="4096" width="8.875" style="7" customWidth="1"/>
    <col min="4097" max="4097" width="9.625" style="7" customWidth="1"/>
    <col min="4098" max="4098" width="8.75" style="7" customWidth="1"/>
    <col min="4099" max="4099" width="12.375" style="7" customWidth="1"/>
    <col min="4100" max="4100" width="8.75" style="7" customWidth="1"/>
    <col min="4101" max="4101" width="11.5" style="7" customWidth="1"/>
    <col min="4102" max="4102" width="6.625" style="7" customWidth="1"/>
    <col min="4103" max="4103" width="11.25" style="7" customWidth="1"/>
    <col min="4104" max="4321" width="9" style="7" customWidth="1"/>
    <col min="4322" max="4322" width="9.625" style="7" customWidth="1"/>
    <col min="4323" max="4323" width="7.625" style="7" customWidth="1"/>
    <col min="4324" max="4324" width="18.5" style="7" customWidth="1"/>
    <col min="4325" max="4325" width="6.625" style="7" customWidth="1"/>
    <col min="4326" max="4326" width="12.25" style="7" customWidth="1"/>
    <col min="4327" max="4327" width="8" style="7" customWidth="1"/>
    <col min="4328" max="4328" width="10.625" style="7" customWidth="1"/>
    <col min="4329" max="4329" width="8" style="7" customWidth="1"/>
    <col min="4330" max="4330" width="11.375" style="7" customWidth="1"/>
    <col min="4331" max="4331" width="11.5" style="7" customWidth="1"/>
    <col min="4332" max="4332" width="8" style="7" customWidth="1"/>
    <col min="4333" max="4333" width="11.25" style="7" customWidth="1"/>
    <col min="4334" max="4334" width="8" style="7" customWidth="1"/>
    <col min="4335" max="4335" width="10.875" style="7" customWidth="1"/>
    <col min="4336" max="4336" width="12.25" style="7" customWidth="1"/>
    <col min="4337" max="4337" width="8" style="7" customWidth="1"/>
    <col min="4338" max="4338" width="11.875" style="7" customWidth="1"/>
    <col min="4339" max="4339" width="8" style="7" customWidth="1"/>
    <col min="4340" max="4340" width="11" style="7" customWidth="1"/>
    <col min="4341" max="4341" width="12.25" style="7" customWidth="1"/>
    <col min="4342" max="4342" width="8" style="7" customWidth="1"/>
    <col min="4343" max="4343" width="11.875" style="7" customWidth="1"/>
    <col min="4344" max="4344" width="8" style="7" customWidth="1"/>
    <col min="4345" max="4345" width="12.25" style="7" customWidth="1"/>
    <col min="4346" max="4346" width="14.25" style="7" customWidth="1"/>
    <col min="4347" max="4347" width="8" style="7" customWidth="1"/>
    <col min="4348" max="4348" width="14" style="7" customWidth="1"/>
    <col min="4349" max="4349" width="8.875" style="7" customWidth="1"/>
    <col min="4350" max="4350" width="15.25" style="7" customWidth="1"/>
    <col min="4351" max="4351" width="16.375" style="7" customWidth="1"/>
    <col min="4352" max="4352" width="8.875" style="7" customWidth="1"/>
    <col min="4353" max="4353" width="9.625" style="7" customWidth="1"/>
    <col min="4354" max="4354" width="8.75" style="7" customWidth="1"/>
    <col min="4355" max="4355" width="12.375" style="7" customWidth="1"/>
    <col min="4356" max="4356" width="8.75" style="7" customWidth="1"/>
    <col min="4357" max="4357" width="11.5" style="7" customWidth="1"/>
    <col min="4358" max="4358" width="6.625" style="7" customWidth="1"/>
    <col min="4359" max="4359" width="11.25" style="7" customWidth="1"/>
    <col min="4360" max="4577" width="9" style="7" customWidth="1"/>
    <col min="4578" max="4578" width="9.625" style="7" customWidth="1"/>
    <col min="4579" max="4579" width="7.625" style="7" customWidth="1"/>
    <col min="4580" max="4580" width="18.5" style="7" customWidth="1"/>
    <col min="4581" max="4581" width="6.625" style="7" customWidth="1"/>
    <col min="4582" max="4582" width="12.25" style="7" customWidth="1"/>
    <col min="4583" max="4583" width="8" style="7" customWidth="1"/>
    <col min="4584" max="4584" width="10.625" style="7" customWidth="1"/>
    <col min="4585" max="4585" width="8" style="7" customWidth="1"/>
    <col min="4586" max="4586" width="11.375" style="7" customWidth="1"/>
    <col min="4587" max="4587" width="11.5" style="7" customWidth="1"/>
    <col min="4588" max="4588" width="8" style="7" customWidth="1"/>
    <col min="4589" max="4589" width="11.25" style="7" customWidth="1"/>
    <col min="4590" max="4590" width="8" style="7" customWidth="1"/>
    <col min="4591" max="4591" width="10.875" style="7" customWidth="1"/>
    <col min="4592" max="4592" width="12.25" style="7" customWidth="1"/>
    <col min="4593" max="4593" width="8" style="7" customWidth="1"/>
    <col min="4594" max="4594" width="11.875" style="7" customWidth="1"/>
    <col min="4595" max="4595" width="8" style="7" customWidth="1"/>
    <col min="4596" max="4596" width="11" style="7" customWidth="1"/>
    <col min="4597" max="4597" width="12.25" style="7" customWidth="1"/>
    <col min="4598" max="4598" width="8" style="7" customWidth="1"/>
    <col min="4599" max="4599" width="11.875" style="7" customWidth="1"/>
    <col min="4600" max="4600" width="8" style="7" customWidth="1"/>
    <col min="4601" max="4601" width="12.25" style="7" customWidth="1"/>
    <col min="4602" max="4602" width="14.25" style="7" customWidth="1"/>
    <col min="4603" max="4603" width="8" style="7" customWidth="1"/>
    <col min="4604" max="4604" width="14" style="7" customWidth="1"/>
    <col min="4605" max="4605" width="8.875" style="7" customWidth="1"/>
    <col min="4606" max="4606" width="15.25" style="7" customWidth="1"/>
    <col min="4607" max="4607" width="16.375" style="7" customWidth="1"/>
    <col min="4608" max="4608" width="8.875" style="7" customWidth="1"/>
    <col min="4609" max="4609" width="9.625" style="7" customWidth="1"/>
    <col min="4610" max="4610" width="8.75" style="7" customWidth="1"/>
    <col min="4611" max="4611" width="12.375" style="7" customWidth="1"/>
    <col min="4612" max="4612" width="8.75" style="7" customWidth="1"/>
    <col min="4613" max="4613" width="11.5" style="7" customWidth="1"/>
    <col min="4614" max="4614" width="6.625" style="7" customWidth="1"/>
    <col min="4615" max="4615" width="11.25" style="7" customWidth="1"/>
    <col min="4616" max="4833" width="9" style="7" customWidth="1"/>
    <col min="4834" max="4834" width="9.625" style="7" customWidth="1"/>
    <col min="4835" max="4835" width="7.625" style="7" customWidth="1"/>
    <col min="4836" max="4836" width="18.5" style="7" customWidth="1"/>
    <col min="4837" max="4837" width="6.625" style="7" customWidth="1"/>
    <col min="4838" max="4838" width="12.25" style="7" customWidth="1"/>
    <col min="4839" max="4839" width="8" style="7" customWidth="1"/>
    <col min="4840" max="4840" width="10.625" style="7" customWidth="1"/>
    <col min="4841" max="4841" width="8" style="7" customWidth="1"/>
    <col min="4842" max="4842" width="11.375" style="7" customWidth="1"/>
    <col min="4843" max="4843" width="11.5" style="7" customWidth="1"/>
    <col min="4844" max="4844" width="8" style="7" customWidth="1"/>
    <col min="4845" max="4845" width="11.25" style="7" customWidth="1"/>
    <col min="4846" max="4846" width="8" style="7" customWidth="1"/>
    <col min="4847" max="4847" width="10.875" style="7" customWidth="1"/>
    <col min="4848" max="4848" width="12.25" style="7" customWidth="1"/>
    <col min="4849" max="4849" width="8" style="7" customWidth="1"/>
    <col min="4850" max="4850" width="11.875" style="7" customWidth="1"/>
    <col min="4851" max="4851" width="8" style="7" customWidth="1"/>
    <col min="4852" max="4852" width="11" style="7" customWidth="1"/>
    <col min="4853" max="4853" width="12.25" style="7" customWidth="1"/>
    <col min="4854" max="4854" width="8" style="7" customWidth="1"/>
    <col min="4855" max="4855" width="11.875" style="7" customWidth="1"/>
    <col min="4856" max="4856" width="8" style="7" customWidth="1"/>
    <col min="4857" max="4857" width="12.25" style="7" customWidth="1"/>
    <col min="4858" max="4858" width="14.25" style="7" customWidth="1"/>
    <col min="4859" max="4859" width="8" style="7" customWidth="1"/>
    <col min="4860" max="4860" width="14" style="7" customWidth="1"/>
    <col min="4861" max="4861" width="8.875" style="7" customWidth="1"/>
    <col min="4862" max="4862" width="15.25" style="7" customWidth="1"/>
    <col min="4863" max="4863" width="16.375" style="7" customWidth="1"/>
    <col min="4864" max="4864" width="8.875" style="7" customWidth="1"/>
    <col min="4865" max="4865" width="9.625" style="7" customWidth="1"/>
    <col min="4866" max="4866" width="8.75" style="7" customWidth="1"/>
    <col min="4867" max="4867" width="12.375" style="7" customWidth="1"/>
    <col min="4868" max="4868" width="8.75" style="7" customWidth="1"/>
    <col min="4869" max="4869" width="11.5" style="7" customWidth="1"/>
    <col min="4870" max="4870" width="6.625" style="7" customWidth="1"/>
    <col min="4871" max="4871" width="11.25" style="7" customWidth="1"/>
    <col min="4872" max="5089" width="9" style="7" customWidth="1"/>
    <col min="5090" max="5090" width="9.625" style="7" customWidth="1"/>
    <col min="5091" max="5091" width="7.625" style="7" customWidth="1"/>
    <col min="5092" max="5092" width="18.5" style="7" customWidth="1"/>
    <col min="5093" max="5093" width="6.625" style="7" customWidth="1"/>
    <col min="5094" max="5094" width="12.25" style="7" customWidth="1"/>
    <col min="5095" max="5095" width="8" style="7" customWidth="1"/>
    <col min="5096" max="5096" width="10.625" style="7" customWidth="1"/>
    <col min="5097" max="5097" width="8" style="7" customWidth="1"/>
    <col min="5098" max="5098" width="11.375" style="7" customWidth="1"/>
    <col min="5099" max="5099" width="11.5" style="7" customWidth="1"/>
    <col min="5100" max="5100" width="8" style="7" customWidth="1"/>
    <col min="5101" max="5101" width="11.25" style="7" customWidth="1"/>
    <col min="5102" max="5102" width="8" style="7" customWidth="1"/>
    <col min="5103" max="5103" width="10.875" style="7" customWidth="1"/>
    <col min="5104" max="5104" width="12.25" style="7" customWidth="1"/>
    <col min="5105" max="5105" width="8" style="7" customWidth="1"/>
    <col min="5106" max="5106" width="11.875" style="7" customWidth="1"/>
    <col min="5107" max="5107" width="8" style="7" customWidth="1"/>
    <col min="5108" max="5108" width="11" style="7" customWidth="1"/>
    <col min="5109" max="5109" width="12.25" style="7" customWidth="1"/>
    <col min="5110" max="5110" width="8" style="7" customWidth="1"/>
    <col min="5111" max="5111" width="11.875" style="7" customWidth="1"/>
    <col min="5112" max="5112" width="8" style="7" customWidth="1"/>
    <col min="5113" max="5113" width="12.25" style="7" customWidth="1"/>
    <col min="5114" max="5114" width="14.25" style="7" customWidth="1"/>
    <col min="5115" max="5115" width="8" style="7" customWidth="1"/>
    <col min="5116" max="5116" width="14" style="7" customWidth="1"/>
    <col min="5117" max="5117" width="8.875" style="7" customWidth="1"/>
    <col min="5118" max="5118" width="15.25" style="7" customWidth="1"/>
    <col min="5119" max="5119" width="16.375" style="7" customWidth="1"/>
    <col min="5120" max="5120" width="8.875" style="7" customWidth="1"/>
    <col min="5121" max="5121" width="9.625" style="7" customWidth="1"/>
    <col min="5122" max="5122" width="8.75" style="7" customWidth="1"/>
    <col min="5123" max="5123" width="12.375" style="7" customWidth="1"/>
    <col min="5124" max="5124" width="8.75" style="7" customWidth="1"/>
    <col min="5125" max="5125" width="11.5" style="7" customWidth="1"/>
    <col min="5126" max="5126" width="6.625" style="7" customWidth="1"/>
    <col min="5127" max="5127" width="11.25" style="7" customWidth="1"/>
    <col min="5128" max="5345" width="9" style="7" customWidth="1"/>
    <col min="5346" max="5346" width="9.625" style="7" customWidth="1"/>
    <col min="5347" max="5347" width="7.625" style="7" customWidth="1"/>
    <col min="5348" max="5348" width="18.5" style="7" customWidth="1"/>
    <col min="5349" max="5349" width="6.625" style="7" customWidth="1"/>
    <col min="5350" max="5350" width="12.25" style="7" customWidth="1"/>
    <col min="5351" max="5351" width="8" style="7" customWidth="1"/>
    <col min="5352" max="5352" width="10.625" style="7" customWidth="1"/>
    <col min="5353" max="5353" width="8" style="7" customWidth="1"/>
    <col min="5354" max="5354" width="11.375" style="7" customWidth="1"/>
    <col min="5355" max="5355" width="11.5" style="7" customWidth="1"/>
    <col min="5356" max="5356" width="8" style="7" customWidth="1"/>
    <col min="5357" max="5357" width="11.25" style="7" customWidth="1"/>
    <col min="5358" max="5358" width="8" style="7" customWidth="1"/>
    <col min="5359" max="5359" width="10.875" style="7" customWidth="1"/>
    <col min="5360" max="5360" width="12.25" style="7" customWidth="1"/>
    <col min="5361" max="5361" width="8" style="7" customWidth="1"/>
    <col min="5362" max="5362" width="11.875" style="7" customWidth="1"/>
    <col min="5363" max="5363" width="8" style="7" customWidth="1"/>
    <col min="5364" max="5364" width="11" style="7" customWidth="1"/>
    <col min="5365" max="5365" width="12.25" style="7" customWidth="1"/>
    <col min="5366" max="5366" width="8" style="7" customWidth="1"/>
    <col min="5367" max="5367" width="11.875" style="7" customWidth="1"/>
    <col min="5368" max="5368" width="8" style="7" customWidth="1"/>
    <col min="5369" max="5369" width="12.25" style="7" customWidth="1"/>
    <col min="5370" max="5370" width="14.25" style="7" customWidth="1"/>
    <col min="5371" max="5371" width="8" style="7" customWidth="1"/>
    <col min="5372" max="5372" width="14" style="7" customWidth="1"/>
    <col min="5373" max="5373" width="8.875" style="7" customWidth="1"/>
    <col min="5374" max="5374" width="15.25" style="7" customWidth="1"/>
    <col min="5375" max="5375" width="16.375" style="7" customWidth="1"/>
    <col min="5376" max="5376" width="8.875" style="7" customWidth="1"/>
    <col min="5377" max="5377" width="9.625" style="7" customWidth="1"/>
    <col min="5378" max="5378" width="8.75" style="7" customWidth="1"/>
    <col min="5379" max="5379" width="12.375" style="7" customWidth="1"/>
    <col min="5380" max="5380" width="8.75" style="7" customWidth="1"/>
    <col min="5381" max="5381" width="11.5" style="7" customWidth="1"/>
    <col min="5382" max="5382" width="6.625" style="7" customWidth="1"/>
    <col min="5383" max="5383" width="11.25" style="7" customWidth="1"/>
    <col min="5384" max="5601" width="9" style="7" customWidth="1"/>
    <col min="5602" max="5602" width="9.625" style="7" customWidth="1"/>
    <col min="5603" max="5603" width="7.625" style="7" customWidth="1"/>
    <col min="5604" max="5604" width="18.5" style="7" customWidth="1"/>
    <col min="5605" max="5605" width="6.625" style="7" customWidth="1"/>
    <col min="5606" max="5606" width="12.25" style="7" customWidth="1"/>
    <col min="5607" max="5607" width="8" style="7" customWidth="1"/>
    <col min="5608" max="5608" width="10.625" style="7" customWidth="1"/>
    <col min="5609" max="5609" width="8" style="7" customWidth="1"/>
    <col min="5610" max="5610" width="11.375" style="7" customWidth="1"/>
    <col min="5611" max="5611" width="11.5" style="7" customWidth="1"/>
    <col min="5612" max="5612" width="8" style="7" customWidth="1"/>
    <col min="5613" max="5613" width="11.25" style="7" customWidth="1"/>
    <col min="5614" max="5614" width="8" style="7" customWidth="1"/>
    <col min="5615" max="5615" width="10.875" style="7" customWidth="1"/>
    <col min="5616" max="5616" width="12.25" style="7" customWidth="1"/>
    <col min="5617" max="5617" width="8" style="7" customWidth="1"/>
    <col min="5618" max="5618" width="11.875" style="7" customWidth="1"/>
    <col min="5619" max="5619" width="8" style="7" customWidth="1"/>
    <col min="5620" max="5620" width="11" style="7" customWidth="1"/>
    <col min="5621" max="5621" width="12.25" style="7" customWidth="1"/>
    <col min="5622" max="5622" width="8" style="7" customWidth="1"/>
    <col min="5623" max="5623" width="11.875" style="7" customWidth="1"/>
    <col min="5624" max="5624" width="8" style="7" customWidth="1"/>
    <col min="5625" max="5625" width="12.25" style="7" customWidth="1"/>
    <col min="5626" max="5626" width="14.25" style="7" customWidth="1"/>
    <col min="5627" max="5627" width="8" style="7" customWidth="1"/>
    <col min="5628" max="5628" width="14" style="7" customWidth="1"/>
    <col min="5629" max="5629" width="8.875" style="7" customWidth="1"/>
    <col min="5630" max="5630" width="15.25" style="7" customWidth="1"/>
    <col min="5631" max="5631" width="16.375" style="7" customWidth="1"/>
    <col min="5632" max="5632" width="8.875" style="7" customWidth="1"/>
    <col min="5633" max="5633" width="9.625" style="7" customWidth="1"/>
    <col min="5634" max="5634" width="8.75" style="7" customWidth="1"/>
    <col min="5635" max="5635" width="12.375" style="7" customWidth="1"/>
    <col min="5636" max="5636" width="8.75" style="7" customWidth="1"/>
    <col min="5637" max="5637" width="11.5" style="7" customWidth="1"/>
    <col min="5638" max="5638" width="6.625" style="7" customWidth="1"/>
    <col min="5639" max="5639" width="11.25" style="7" customWidth="1"/>
    <col min="5640" max="5857" width="9" style="7" customWidth="1"/>
    <col min="5858" max="5858" width="9.625" style="7" customWidth="1"/>
    <col min="5859" max="5859" width="7.625" style="7" customWidth="1"/>
    <col min="5860" max="5860" width="18.5" style="7" customWidth="1"/>
    <col min="5861" max="5861" width="6.625" style="7" customWidth="1"/>
    <col min="5862" max="5862" width="12.25" style="7" customWidth="1"/>
    <col min="5863" max="5863" width="8" style="7" customWidth="1"/>
    <col min="5864" max="5864" width="10.625" style="7" customWidth="1"/>
    <col min="5865" max="5865" width="8" style="7" customWidth="1"/>
    <col min="5866" max="5866" width="11.375" style="7" customWidth="1"/>
    <col min="5867" max="5867" width="11.5" style="7" customWidth="1"/>
    <col min="5868" max="5868" width="8" style="7" customWidth="1"/>
    <col min="5869" max="5869" width="11.25" style="7" customWidth="1"/>
    <col min="5870" max="5870" width="8" style="7" customWidth="1"/>
    <col min="5871" max="5871" width="10.875" style="7" customWidth="1"/>
    <col min="5872" max="5872" width="12.25" style="7" customWidth="1"/>
    <col min="5873" max="5873" width="8" style="7" customWidth="1"/>
    <col min="5874" max="5874" width="11.875" style="7" customWidth="1"/>
    <col min="5875" max="5875" width="8" style="7" customWidth="1"/>
    <col min="5876" max="5876" width="11" style="7" customWidth="1"/>
    <col min="5877" max="5877" width="12.25" style="7" customWidth="1"/>
    <col min="5878" max="5878" width="8" style="7" customWidth="1"/>
    <col min="5879" max="5879" width="11.875" style="7" customWidth="1"/>
    <col min="5880" max="5880" width="8" style="7" customWidth="1"/>
    <col min="5881" max="5881" width="12.25" style="7" customWidth="1"/>
    <col min="5882" max="5882" width="14.25" style="7" customWidth="1"/>
    <col min="5883" max="5883" width="8" style="7" customWidth="1"/>
    <col min="5884" max="5884" width="14" style="7" customWidth="1"/>
    <col min="5885" max="5885" width="8.875" style="7" customWidth="1"/>
    <col min="5886" max="5886" width="15.25" style="7" customWidth="1"/>
    <col min="5887" max="5887" width="16.375" style="7" customWidth="1"/>
    <col min="5888" max="5888" width="8.875" style="7" customWidth="1"/>
    <col min="5889" max="5889" width="9.625" style="7" customWidth="1"/>
    <col min="5890" max="5890" width="8.75" style="7" customWidth="1"/>
    <col min="5891" max="5891" width="12.375" style="7" customWidth="1"/>
    <col min="5892" max="5892" width="8.75" style="7" customWidth="1"/>
    <col min="5893" max="5893" width="11.5" style="7" customWidth="1"/>
    <col min="5894" max="5894" width="6.625" style="7" customWidth="1"/>
    <col min="5895" max="5895" width="11.25" style="7" customWidth="1"/>
    <col min="5896" max="6113" width="9" style="7" customWidth="1"/>
    <col min="6114" max="6114" width="9.625" style="7" customWidth="1"/>
    <col min="6115" max="6115" width="7.625" style="7" customWidth="1"/>
    <col min="6116" max="6116" width="18.5" style="7" customWidth="1"/>
    <col min="6117" max="6117" width="6.625" style="7" customWidth="1"/>
    <col min="6118" max="6118" width="12.25" style="7" customWidth="1"/>
    <col min="6119" max="6119" width="8" style="7" customWidth="1"/>
    <col min="6120" max="6120" width="10.625" style="7" customWidth="1"/>
    <col min="6121" max="6121" width="8" style="7" customWidth="1"/>
    <col min="6122" max="6122" width="11.375" style="7" customWidth="1"/>
    <col min="6123" max="6123" width="11.5" style="7" customWidth="1"/>
    <col min="6124" max="6124" width="8" style="7" customWidth="1"/>
    <col min="6125" max="6125" width="11.25" style="7" customWidth="1"/>
    <col min="6126" max="6126" width="8" style="7" customWidth="1"/>
    <col min="6127" max="6127" width="10.875" style="7" customWidth="1"/>
    <col min="6128" max="6128" width="12.25" style="7" customWidth="1"/>
    <col min="6129" max="6129" width="8" style="7" customWidth="1"/>
    <col min="6130" max="6130" width="11.875" style="7" customWidth="1"/>
    <col min="6131" max="6131" width="8" style="7" customWidth="1"/>
    <col min="6132" max="6132" width="11" style="7" customWidth="1"/>
    <col min="6133" max="6133" width="12.25" style="7" customWidth="1"/>
    <col min="6134" max="6134" width="8" style="7" customWidth="1"/>
    <col min="6135" max="6135" width="11.875" style="7" customWidth="1"/>
    <col min="6136" max="6136" width="8" style="7" customWidth="1"/>
    <col min="6137" max="6137" width="12.25" style="7" customWidth="1"/>
    <col min="6138" max="6138" width="14.25" style="7" customWidth="1"/>
    <col min="6139" max="6139" width="8" style="7" customWidth="1"/>
    <col min="6140" max="6140" width="14" style="7" customWidth="1"/>
    <col min="6141" max="6141" width="8.875" style="7" customWidth="1"/>
    <col min="6142" max="6142" width="15.25" style="7" customWidth="1"/>
    <col min="6143" max="6143" width="16.375" style="7" customWidth="1"/>
    <col min="6144" max="6144" width="8.875" style="7" customWidth="1"/>
    <col min="6145" max="6145" width="9.625" style="7" customWidth="1"/>
    <col min="6146" max="6146" width="8.75" style="7" customWidth="1"/>
    <col min="6147" max="6147" width="12.375" style="7" customWidth="1"/>
    <col min="6148" max="6148" width="8.75" style="7" customWidth="1"/>
    <col min="6149" max="6149" width="11.5" style="7" customWidth="1"/>
    <col min="6150" max="6150" width="6.625" style="7" customWidth="1"/>
    <col min="6151" max="6151" width="11.25" style="7" customWidth="1"/>
    <col min="6152" max="6369" width="9" style="7" customWidth="1"/>
    <col min="6370" max="6370" width="9.625" style="7" customWidth="1"/>
    <col min="6371" max="6371" width="7.625" style="7" customWidth="1"/>
    <col min="6372" max="6372" width="18.5" style="7" customWidth="1"/>
    <col min="6373" max="6373" width="6.625" style="7" customWidth="1"/>
    <col min="6374" max="6374" width="12.25" style="7" customWidth="1"/>
    <col min="6375" max="6375" width="8" style="7" customWidth="1"/>
    <col min="6376" max="6376" width="10.625" style="7" customWidth="1"/>
    <col min="6377" max="6377" width="8" style="7" customWidth="1"/>
    <col min="6378" max="6378" width="11.375" style="7" customWidth="1"/>
    <col min="6379" max="6379" width="11.5" style="7" customWidth="1"/>
    <col min="6380" max="6380" width="8" style="7" customWidth="1"/>
    <col min="6381" max="6381" width="11.25" style="7" customWidth="1"/>
    <col min="6382" max="6382" width="8" style="7" customWidth="1"/>
    <col min="6383" max="6383" width="10.875" style="7" customWidth="1"/>
    <col min="6384" max="6384" width="12.25" style="7" customWidth="1"/>
    <col min="6385" max="6385" width="8" style="7" customWidth="1"/>
    <col min="6386" max="6386" width="11.875" style="7" customWidth="1"/>
    <col min="6387" max="6387" width="8" style="7" customWidth="1"/>
    <col min="6388" max="6388" width="11" style="7" customWidth="1"/>
    <col min="6389" max="6389" width="12.25" style="7" customWidth="1"/>
    <col min="6390" max="6390" width="8" style="7" customWidth="1"/>
    <col min="6391" max="6391" width="11.875" style="7" customWidth="1"/>
    <col min="6392" max="6392" width="8" style="7" customWidth="1"/>
    <col min="6393" max="6393" width="12.25" style="7" customWidth="1"/>
    <col min="6394" max="6394" width="14.25" style="7" customWidth="1"/>
    <col min="6395" max="6395" width="8" style="7" customWidth="1"/>
    <col min="6396" max="6396" width="14" style="7" customWidth="1"/>
    <col min="6397" max="6397" width="8.875" style="7" customWidth="1"/>
    <col min="6398" max="6398" width="15.25" style="7" customWidth="1"/>
    <col min="6399" max="6399" width="16.375" style="7" customWidth="1"/>
    <col min="6400" max="6400" width="8.875" style="7" customWidth="1"/>
    <col min="6401" max="6401" width="9.625" style="7" customWidth="1"/>
    <col min="6402" max="6402" width="8.75" style="7" customWidth="1"/>
    <col min="6403" max="6403" width="12.375" style="7" customWidth="1"/>
    <col min="6404" max="6404" width="8.75" style="7" customWidth="1"/>
    <col min="6405" max="6405" width="11.5" style="7" customWidth="1"/>
    <col min="6406" max="6406" width="6.625" style="7" customWidth="1"/>
    <col min="6407" max="6407" width="11.25" style="7" customWidth="1"/>
    <col min="6408" max="6625" width="9" style="7" customWidth="1"/>
    <col min="6626" max="6626" width="9.625" style="7" customWidth="1"/>
    <col min="6627" max="6627" width="7.625" style="7" customWidth="1"/>
    <col min="6628" max="6628" width="18.5" style="7" customWidth="1"/>
    <col min="6629" max="6629" width="6.625" style="7" customWidth="1"/>
    <col min="6630" max="6630" width="12.25" style="7" customWidth="1"/>
    <col min="6631" max="6631" width="8" style="7" customWidth="1"/>
    <col min="6632" max="6632" width="10.625" style="7" customWidth="1"/>
    <col min="6633" max="6633" width="8" style="7" customWidth="1"/>
    <col min="6634" max="6634" width="11.375" style="7" customWidth="1"/>
    <col min="6635" max="6635" width="11.5" style="7" customWidth="1"/>
    <col min="6636" max="6636" width="8" style="7" customWidth="1"/>
    <col min="6637" max="6637" width="11.25" style="7" customWidth="1"/>
    <col min="6638" max="6638" width="8" style="7" customWidth="1"/>
    <col min="6639" max="6639" width="10.875" style="7" customWidth="1"/>
    <col min="6640" max="6640" width="12.25" style="7" customWidth="1"/>
    <col min="6641" max="6641" width="8" style="7" customWidth="1"/>
    <col min="6642" max="6642" width="11.875" style="7" customWidth="1"/>
    <col min="6643" max="6643" width="8" style="7" customWidth="1"/>
    <col min="6644" max="6644" width="11" style="7" customWidth="1"/>
    <col min="6645" max="6645" width="12.25" style="7" customWidth="1"/>
    <col min="6646" max="6646" width="8" style="7" customWidth="1"/>
    <col min="6647" max="6647" width="11.875" style="7" customWidth="1"/>
    <col min="6648" max="6648" width="8" style="7" customWidth="1"/>
    <col min="6649" max="6649" width="12.25" style="7" customWidth="1"/>
    <col min="6650" max="6650" width="14.25" style="7" customWidth="1"/>
    <col min="6651" max="6651" width="8" style="7" customWidth="1"/>
    <col min="6652" max="6652" width="14" style="7" customWidth="1"/>
    <col min="6653" max="6653" width="8.875" style="7" customWidth="1"/>
    <col min="6654" max="6654" width="15.25" style="7" customWidth="1"/>
    <col min="6655" max="6655" width="16.375" style="7" customWidth="1"/>
    <col min="6656" max="6656" width="8.875" style="7" customWidth="1"/>
    <col min="6657" max="6657" width="9.625" style="7" customWidth="1"/>
    <col min="6658" max="6658" width="8.75" style="7" customWidth="1"/>
    <col min="6659" max="6659" width="12.375" style="7" customWidth="1"/>
    <col min="6660" max="6660" width="8.75" style="7" customWidth="1"/>
    <col min="6661" max="6661" width="11.5" style="7" customWidth="1"/>
    <col min="6662" max="6662" width="6.625" style="7" customWidth="1"/>
    <col min="6663" max="6663" width="11.25" style="7" customWidth="1"/>
    <col min="6664" max="6881" width="9" style="7" customWidth="1"/>
    <col min="6882" max="6882" width="9.625" style="7" customWidth="1"/>
    <col min="6883" max="6883" width="7.625" style="7" customWidth="1"/>
    <col min="6884" max="6884" width="18.5" style="7" customWidth="1"/>
    <col min="6885" max="6885" width="6.625" style="7" customWidth="1"/>
    <col min="6886" max="6886" width="12.25" style="7" customWidth="1"/>
    <col min="6887" max="6887" width="8" style="7" customWidth="1"/>
    <col min="6888" max="6888" width="10.625" style="7" customWidth="1"/>
    <col min="6889" max="6889" width="8" style="7" customWidth="1"/>
    <col min="6890" max="6890" width="11.375" style="7" customWidth="1"/>
    <col min="6891" max="6891" width="11.5" style="7" customWidth="1"/>
    <col min="6892" max="6892" width="8" style="7" customWidth="1"/>
    <col min="6893" max="6893" width="11.25" style="7" customWidth="1"/>
    <col min="6894" max="6894" width="8" style="7" customWidth="1"/>
    <col min="6895" max="6895" width="10.875" style="7" customWidth="1"/>
    <col min="6896" max="6896" width="12.25" style="7" customWidth="1"/>
    <col min="6897" max="6897" width="8" style="7" customWidth="1"/>
    <col min="6898" max="6898" width="11.875" style="7" customWidth="1"/>
    <col min="6899" max="6899" width="8" style="7" customWidth="1"/>
    <col min="6900" max="6900" width="11" style="7" customWidth="1"/>
    <col min="6901" max="6901" width="12.25" style="7" customWidth="1"/>
    <col min="6902" max="6902" width="8" style="7" customWidth="1"/>
    <col min="6903" max="6903" width="11.875" style="7" customWidth="1"/>
    <col min="6904" max="6904" width="8" style="7" customWidth="1"/>
    <col min="6905" max="6905" width="12.25" style="7" customWidth="1"/>
    <col min="6906" max="6906" width="14.25" style="7" customWidth="1"/>
    <col min="6907" max="6907" width="8" style="7" customWidth="1"/>
    <col min="6908" max="6908" width="14" style="7" customWidth="1"/>
    <col min="6909" max="6909" width="8.875" style="7" customWidth="1"/>
    <col min="6910" max="6910" width="15.25" style="7" customWidth="1"/>
    <col min="6911" max="6911" width="16.375" style="7" customWidth="1"/>
    <col min="6912" max="6912" width="8.875" style="7" customWidth="1"/>
    <col min="6913" max="6913" width="9.625" style="7" customWidth="1"/>
    <col min="6914" max="6914" width="8.75" style="7" customWidth="1"/>
    <col min="6915" max="6915" width="12.375" style="7" customWidth="1"/>
    <col min="6916" max="6916" width="8.75" style="7" customWidth="1"/>
    <col min="6917" max="6917" width="11.5" style="7" customWidth="1"/>
    <col min="6918" max="6918" width="6.625" style="7" customWidth="1"/>
    <col min="6919" max="6919" width="11.25" style="7" customWidth="1"/>
    <col min="6920" max="7137" width="9" style="7" customWidth="1"/>
    <col min="7138" max="7138" width="9.625" style="7" customWidth="1"/>
    <col min="7139" max="7139" width="7.625" style="7" customWidth="1"/>
    <col min="7140" max="7140" width="18.5" style="7" customWidth="1"/>
    <col min="7141" max="7141" width="6.625" style="7" customWidth="1"/>
    <col min="7142" max="7142" width="12.25" style="7" customWidth="1"/>
    <col min="7143" max="7143" width="8" style="7" customWidth="1"/>
    <col min="7144" max="7144" width="10.625" style="7" customWidth="1"/>
    <col min="7145" max="7145" width="8" style="7" customWidth="1"/>
    <col min="7146" max="7146" width="11.375" style="7" customWidth="1"/>
    <col min="7147" max="7147" width="11.5" style="7" customWidth="1"/>
    <col min="7148" max="7148" width="8" style="7" customWidth="1"/>
    <col min="7149" max="7149" width="11.25" style="7" customWidth="1"/>
    <col min="7150" max="7150" width="8" style="7" customWidth="1"/>
    <col min="7151" max="7151" width="10.875" style="7" customWidth="1"/>
    <col min="7152" max="7152" width="12.25" style="7" customWidth="1"/>
    <col min="7153" max="7153" width="8" style="7" customWidth="1"/>
    <col min="7154" max="7154" width="11.875" style="7" customWidth="1"/>
    <col min="7155" max="7155" width="8" style="7" customWidth="1"/>
    <col min="7156" max="7156" width="11" style="7" customWidth="1"/>
    <col min="7157" max="7157" width="12.25" style="7" customWidth="1"/>
    <col min="7158" max="7158" width="8" style="7" customWidth="1"/>
    <col min="7159" max="7159" width="11.875" style="7" customWidth="1"/>
    <col min="7160" max="7160" width="8" style="7" customWidth="1"/>
    <col min="7161" max="7161" width="12.25" style="7" customWidth="1"/>
    <col min="7162" max="7162" width="14.25" style="7" customWidth="1"/>
    <col min="7163" max="7163" width="8" style="7" customWidth="1"/>
    <col min="7164" max="7164" width="14" style="7" customWidth="1"/>
    <col min="7165" max="7165" width="8.875" style="7" customWidth="1"/>
    <col min="7166" max="7166" width="15.25" style="7" customWidth="1"/>
    <col min="7167" max="7167" width="16.375" style="7" customWidth="1"/>
    <col min="7168" max="7168" width="8.875" style="7" customWidth="1"/>
    <col min="7169" max="7169" width="9.625" style="7" customWidth="1"/>
    <col min="7170" max="7170" width="8.75" style="7" customWidth="1"/>
    <col min="7171" max="7171" width="12.375" style="7" customWidth="1"/>
    <col min="7172" max="7172" width="8.75" style="7" customWidth="1"/>
    <col min="7173" max="7173" width="11.5" style="7" customWidth="1"/>
    <col min="7174" max="7174" width="6.625" style="7" customWidth="1"/>
    <col min="7175" max="7175" width="11.25" style="7" customWidth="1"/>
    <col min="7176" max="7393" width="9" style="7" customWidth="1"/>
    <col min="7394" max="7394" width="9.625" style="7" customWidth="1"/>
    <col min="7395" max="7395" width="7.625" style="7" customWidth="1"/>
    <col min="7396" max="7396" width="18.5" style="7" customWidth="1"/>
    <col min="7397" max="7397" width="6.625" style="7" customWidth="1"/>
    <col min="7398" max="7398" width="12.25" style="7" customWidth="1"/>
    <col min="7399" max="7399" width="8" style="7" customWidth="1"/>
    <col min="7400" max="7400" width="10.625" style="7" customWidth="1"/>
    <col min="7401" max="7401" width="8" style="7" customWidth="1"/>
    <col min="7402" max="7402" width="11.375" style="7" customWidth="1"/>
    <col min="7403" max="7403" width="11.5" style="7" customWidth="1"/>
    <col min="7404" max="7404" width="8" style="7" customWidth="1"/>
    <col min="7405" max="7405" width="11.25" style="7" customWidth="1"/>
    <col min="7406" max="7406" width="8" style="7" customWidth="1"/>
    <col min="7407" max="7407" width="10.875" style="7" customWidth="1"/>
    <col min="7408" max="7408" width="12.25" style="7" customWidth="1"/>
    <col min="7409" max="7409" width="8" style="7" customWidth="1"/>
    <col min="7410" max="7410" width="11.875" style="7" customWidth="1"/>
    <col min="7411" max="7411" width="8" style="7" customWidth="1"/>
    <col min="7412" max="7412" width="11" style="7" customWidth="1"/>
    <col min="7413" max="7413" width="12.25" style="7" customWidth="1"/>
    <col min="7414" max="7414" width="8" style="7" customWidth="1"/>
    <col min="7415" max="7415" width="11.875" style="7" customWidth="1"/>
    <col min="7416" max="7416" width="8" style="7" customWidth="1"/>
    <col min="7417" max="7417" width="12.25" style="7" customWidth="1"/>
    <col min="7418" max="7418" width="14.25" style="7" customWidth="1"/>
    <col min="7419" max="7419" width="8" style="7" customWidth="1"/>
    <col min="7420" max="7420" width="14" style="7" customWidth="1"/>
    <col min="7421" max="7421" width="8.875" style="7" customWidth="1"/>
    <col min="7422" max="7422" width="15.25" style="7" customWidth="1"/>
    <col min="7423" max="7423" width="16.375" style="7" customWidth="1"/>
    <col min="7424" max="7424" width="8.875" style="7" customWidth="1"/>
    <col min="7425" max="7425" width="9.625" style="7" customWidth="1"/>
    <col min="7426" max="7426" width="8.75" style="7" customWidth="1"/>
    <col min="7427" max="7427" width="12.375" style="7" customWidth="1"/>
    <col min="7428" max="7428" width="8.75" style="7" customWidth="1"/>
    <col min="7429" max="7429" width="11.5" style="7" customWidth="1"/>
    <col min="7430" max="7430" width="6.625" style="7" customWidth="1"/>
    <col min="7431" max="7431" width="11.25" style="7" customWidth="1"/>
    <col min="7432" max="7649" width="9" style="7" customWidth="1"/>
    <col min="7650" max="7650" width="9.625" style="7" customWidth="1"/>
    <col min="7651" max="7651" width="7.625" style="7" customWidth="1"/>
    <col min="7652" max="7652" width="18.5" style="7" customWidth="1"/>
    <col min="7653" max="7653" width="6.625" style="7" customWidth="1"/>
    <col min="7654" max="7654" width="12.25" style="7" customWidth="1"/>
    <col min="7655" max="7655" width="8" style="7" customWidth="1"/>
    <col min="7656" max="7656" width="10.625" style="7" customWidth="1"/>
    <col min="7657" max="7657" width="8" style="7" customWidth="1"/>
    <col min="7658" max="7658" width="11.375" style="7" customWidth="1"/>
    <col min="7659" max="7659" width="11.5" style="7" customWidth="1"/>
    <col min="7660" max="7660" width="8" style="7" customWidth="1"/>
    <col min="7661" max="7661" width="11.25" style="7" customWidth="1"/>
    <col min="7662" max="7662" width="8" style="7" customWidth="1"/>
    <col min="7663" max="7663" width="10.875" style="7" customWidth="1"/>
    <col min="7664" max="7664" width="12.25" style="7" customWidth="1"/>
    <col min="7665" max="7665" width="8" style="7" customWidth="1"/>
    <col min="7666" max="7666" width="11.875" style="7" customWidth="1"/>
    <col min="7667" max="7667" width="8" style="7" customWidth="1"/>
    <col min="7668" max="7668" width="11" style="7" customWidth="1"/>
    <col min="7669" max="7669" width="12.25" style="7" customWidth="1"/>
    <col min="7670" max="7670" width="8" style="7" customWidth="1"/>
    <col min="7671" max="7671" width="11.875" style="7" customWidth="1"/>
    <col min="7672" max="7672" width="8" style="7" customWidth="1"/>
    <col min="7673" max="7673" width="12.25" style="7" customWidth="1"/>
    <col min="7674" max="7674" width="14.25" style="7" customWidth="1"/>
    <col min="7675" max="7675" width="8" style="7" customWidth="1"/>
    <col min="7676" max="7676" width="14" style="7" customWidth="1"/>
    <col min="7677" max="7677" width="8.875" style="7" customWidth="1"/>
    <col min="7678" max="7678" width="15.25" style="7" customWidth="1"/>
    <col min="7679" max="7679" width="16.375" style="7" customWidth="1"/>
    <col min="7680" max="7680" width="8.875" style="7" customWidth="1"/>
    <col min="7681" max="7681" width="9.625" style="7" customWidth="1"/>
    <col min="7682" max="7682" width="8.75" style="7" customWidth="1"/>
    <col min="7683" max="7683" width="12.375" style="7" customWidth="1"/>
    <col min="7684" max="7684" width="8.75" style="7" customWidth="1"/>
    <col min="7685" max="7685" width="11.5" style="7" customWidth="1"/>
    <col min="7686" max="7686" width="6.625" style="7" customWidth="1"/>
    <col min="7687" max="7687" width="11.25" style="7" customWidth="1"/>
    <col min="7688" max="7905" width="9" style="7" customWidth="1"/>
    <col min="7906" max="7906" width="9.625" style="7" customWidth="1"/>
    <col min="7907" max="7907" width="7.625" style="7" customWidth="1"/>
    <col min="7908" max="7908" width="18.5" style="7" customWidth="1"/>
    <col min="7909" max="7909" width="6.625" style="7" customWidth="1"/>
    <col min="7910" max="7910" width="12.25" style="7" customWidth="1"/>
    <col min="7911" max="7911" width="8" style="7" customWidth="1"/>
    <col min="7912" max="7912" width="10.625" style="7" customWidth="1"/>
    <col min="7913" max="7913" width="8" style="7" customWidth="1"/>
    <col min="7914" max="7914" width="11.375" style="7" customWidth="1"/>
    <col min="7915" max="7915" width="11.5" style="7" customWidth="1"/>
    <col min="7916" max="7916" width="8" style="7" customWidth="1"/>
    <col min="7917" max="7917" width="11.25" style="7" customWidth="1"/>
    <col min="7918" max="7918" width="8" style="7" customWidth="1"/>
    <col min="7919" max="7919" width="10.875" style="7" customWidth="1"/>
    <col min="7920" max="7920" width="12.25" style="7" customWidth="1"/>
    <col min="7921" max="7921" width="8" style="7" customWidth="1"/>
    <col min="7922" max="7922" width="11.875" style="7" customWidth="1"/>
    <col min="7923" max="7923" width="8" style="7" customWidth="1"/>
    <col min="7924" max="7924" width="11" style="7" customWidth="1"/>
    <col min="7925" max="7925" width="12.25" style="7" customWidth="1"/>
    <col min="7926" max="7926" width="8" style="7" customWidth="1"/>
    <col min="7927" max="7927" width="11.875" style="7" customWidth="1"/>
    <col min="7928" max="7928" width="8" style="7" customWidth="1"/>
    <col min="7929" max="7929" width="12.25" style="7" customWidth="1"/>
    <col min="7930" max="7930" width="14.25" style="7" customWidth="1"/>
    <col min="7931" max="7931" width="8" style="7" customWidth="1"/>
    <col min="7932" max="7932" width="14" style="7" customWidth="1"/>
    <col min="7933" max="7933" width="8.875" style="7" customWidth="1"/>
    <col min="7934" max="7934" width="15.25" style="7" customWidth="1"/>
    <col min="7935" max="7935" width="16.375" style="7" customWidth="1"/>
    <col min="7936" max="7936" width="8.875" style="7" customWidth="1"/>
    <col min="7937" max="7937" width="9.625" style="7" customWidth="1"/>
    <col min="7938" max="7938" width="8.75" style="7" customWidth="1"/>
    <col min="7939" max="7939" width="12.375" style="7" customWidth="1"/>
    <col min="7940" max="7940" width="8.75" style="7" customWidth="1"/>
    <col min="7941" max="7941" width="11.5" style="7" customWidth="1"/>
    <col min="7942" max="7942" width="6.625" style="7" customWidth="1"/>
    <col min="7943" max="7943" width="11.25" style="7" customWidth="1"/>
    <col min="7944" max="8161" width="9" style="7" customWidth="1"/>
    <col min="8162" max="8162" width="9.625" style="7" customWidth="1"/>
    <col min="8163" max="8163" width="7.625" style="7" customWidth="1"/>
    <col min="8164" max="8164" width="18.5" style="7" customWidth="1"/>
    <col min="8165" max="8165" width="6.625" style="7" customWidth="1"/>
    <col min="8166" max="8166" width="12.25" style="7" customWidth="1"/>
    <col min="8167" max="8167" width="8" style="7" customWidth="1"/>
    <col min="8168" max="8168" width="10.625" style="7" customWidth="1"/>
    <col min="8169" max="8169" width="8" style="7" customWidth="1"/>
    <col min="8170" max="8170" width="11.375" style="7" customWidth="1"/>
    <col min="8171" max="8171" width="11.5" style="7" customWidth="1"/>
    <col min="8172" max="8172" width="8" style="7" customWidth="1"/>
    <col min="8173" max="8173" width="11.25" style="7" customWidth="1"/>
    <col min="8174" max="8174" width="8" style="7" customWidth="1"/>
    <col min="8175" max="8175" width="10.875" style="7" customWidth="1"/>
    <col min="8176" max="8176" width="12.25" style="7" customWidth="1"/>
    <col min="8177" max="8177" width="8" style="7" customWidth="1"/>
    <col min="8178" max="8178" width="11.875" style="7" customWidth="1"/>
    <col min="8179" max="8179" width="8" style="7" customWidth="1"/>
    <col min="8180" max="8180" width="11" style="7" customWidth="1"/>
    <col min="8181" max="8181" width="12.25" style="7" customWidth="1"/>
    <col min="8182" max="8182" width="8" style="7" customWidth="1"/>
    <col min="8183" max="8183" width="11.875" style="7" customWidth="1"/>
    <col min="8184" max="8184" width="8" style="7" customWidth="1"/>
    <col min="8185" max="8185" width="12.25" style="7" customWidth="1"/>
    <col min="8186" max="8186" width="14.25" style="7" customWidth="1"/>
    <col min="8187" max="8187" width="8" style="7" customWidth="1"/>
    <col min="8188" max="8188" width="14" style="7" customWidth="1"/>
    <col min="8189" max="8189" width="8.875" style="7" customWidth="1"/>
    <col min="8190" max="8190" width="15.25" style="7" customWidth="1"/>
    <col min="8191" max="8191" width="16.375" style="7" customWidth="1"/>
    <col min="8192" max="8192" width="8.875" style="7" customWidth="1"/>
    <col min="8193" max="8193" width="9.625" style="7" customWidth="1"/>
    <col min="8194" max="8194" width="8.75" style="7" customWidth="1"/>
    <col min="8195" max="8195" width="12.375" style="7" customWidth="1"/>
    <col min="8196" max="8196" width="8.75" style="7" customWidth="1"/>
    <col min="8197" max="8197" width="11.5" style="7" customWidth="1"/>
    <col min="8198" max="8198" width="6.625" style="7" customWidth="1"/>
    <col min="8199" max="8199" width="11.25" style="7" customWidth="1"/>
    <col min="8200" max="8417" width="9" style="7" customWidth="1"/>
    <col min="8418" max="8418" width="9.625" style="7" customWidth="1"/>
    <col min="8419" max="8419" width="7.625" style="7" customWidth="1"/>
    <col min="8420" max="8420" width="18.5" style="7" customWidth="1"/>
    <col min="8421" max="8421" width="6.625" style="7" customWidth="1"/>
    <col min="8422" max="8422" width="12.25" style="7" customWidth="1"/>
    <col min="8423" max="8423" width="8" style="7" customWidth="1"/>
    <col min="8424" max="8424" width="10.625" style="7" customWidth="1"/>
    <col min="8425" max="8425" width="8" style="7" customWidth="1"/>
    <col min="8426" max="8426" width="11.375" style="7" customWidth="1"/>
    <col min="8427" max="8427" width="11.5" style="7" customWidth="1"/>
    <col min="8428" max="8428" width="8" style="7" customWidth="1"/>
    <col min="8429" max="8429" width="11.25" style="7" customWidth="1"/>
    <col min="8430" max="8430" width="8" style="7" customWidth="1"/>
    <col min="8431" max="8431" width="10.875" style="7" customWidth="1"/>
    <col min="8432" max="8432" width="12.25" style="7" customWidth="1"/>
    <col min="8433" max="8433" width="8" style="7" customWidth="1"/>
    <col min="8434" max="8434" width="11.875" style="7" customWidth="1"/>
    <col min="8435" max="8435" width="8" style="7" customWidth="1"/>
    <col min="8436" max="8436" width="11" style="7" customWidth="1"/>
    <col min="8437" max="8437" width="12.25" style="7" customWidth="1"/>
    <col min="8438" max="8438" width="8" style="7" customWidth="1"/>
    <col min="8439" max="8439" width="11.875" style="7" customWidth="1"/>
    <col min="8440" max="8440" width="8" style="7" customWidth="1"/>
    <col min="8441" max="8441" width="12.25" style="7" customWidth="1"/>
    <col min="8442" max="8442" width="14.25" style="7" customWidth="1"/>
    <col min="8443" max="8443" width="8" style="7" customWidth="1"/>
    <col min="8444" max="8444" width="14" style="7" customWidth="1"/>
    <col min="8445" max="8445" width="8.875" style="7" customWidth="1"/>
    <col min="8446" max="8446" width="15.25" style="7" customWidth="1"/>
    <col min="8447" max="8447" width="16.375" style="7" customWidth="1"/>
    <col min="8448" max="8448" width="8.875" style="7" customWidth="1"/>
    <col min="8449" max="8449" width="9.625" style="7" customWidth="1"/>
    <col min="8450" max="8450" width="8.75" style="7" customWidth="1"/>
    <col min="8451" max="8451" width="12.375" style="7" customWidth="1"/>
    <col min="8452" max="8452" width="8.75" style="7" customWidth="1"/>
    <col min="8453" max="8453" width="11.5" style="7" customWidth="1"/>
    <col min="8454" max="8454" width="6.625" style="7" customWidth="1"/>
    <col min="8455" max="8455" width="11.25" style="7" customWidth="1"/>
    <col min="8456" max="8673" width="9" style="7" customWidth="1"/>
    <col min="8674" max="8674" width="9.625" style="7" customWidth="1"/>
    <col min="8675" max="8675" width="7.625" style="7" customWidth="1"/>
    <col min="8676" max="8676" width="18.5" style="7" customWidth="1"/>
    <col min="8677" max="8677" width="6.625" style="7" customWidth="1"/>
    <col min="8678" max="8678" width="12.25" style="7" customWidth="1"/>
    <col min="8679" max="8679" width="8" style="7" customWidth="1"/>
    <col min="8680" max="8680" width="10.625" style="7" customWidth="1"/>
    <col min="8681" max="8681" width="8" style="7" customWidth="1"/>
    <col min="8682" max="8682" width="11.375" style="7" customWidth="1"/>
    <col min="8683" max="8683" width="11.5" style="7" customWidth="1"/>
    <col min="8684" max="8684" width="8" style="7" customWidth="1"/>
    <col min="8685" max="8685" width="11.25" style="7" customWidth="1"/>
    <col min="8686" max="8686" width="8" style="7" customWidth="1"/>
    <col min="8687" max="8687" width="10.875" style="7" customWidth="1"/>
    <col min="8688" max="8688" width="12.25" style="7" customWidth="1"/>
    <col min="8689" max="8689" width="8" style="7" customWidth="1"/>
    <col min="8690" max="8690" width="11.875" style="7" customWidth="1"/>
    <col min="8691" max="8691" width="8" style="7" customWidth="1"/>
    <col min="8692" max="8692" width="11" style="7" customWidth="1"/>
    <col min="8693" max="8693" width="12.25" style="7" customWidth="1"/>
    <col min="8694" max="8694" width="8" style="7" customWidth="1"/>
    <col min="8695" max="8695" width="11.875" style="7" customWidth="1"/>
    <col min="8696" max="8696" width="8" style="7" customWidth="1"/>
    <col min="8697" max="8697" width="12.25" style="7" customWidth="1"/>
    <col min="8698" max="8698" width="14.25" style="7" customWidth="1"/>
    <col min="8699" max="8699" width="8" style="7" customWidth="1"/>
    <col min="8700" max="8700" width="14" style="7" customWidth="1"/>
    <col min="8701" max="8701" width="8.875" style="7" customWidth="1"/>
    <col min="8702" max="8702" width="15.25" style="7" customWidth="1"/>
    <col min="8703" max="8703" width="16.375" style="7" customWidth="1"/>
    <col min="8704" max="8704" width="8.875" style="7" customWidth="1"/>
    <col min="8705" max="8705" width="9.625" style="7" customWidth="1"/>
    <col min="8706" max="8706" width="8.75" style="7" customWidth="1"/>
    <col min="8707" max="8707" width="12.375" style="7" customWidth="1"/>
    <col min="8708" max="8708" width="8.75" style="7" customWidth="1"/>
    <col min="8709" max="8709" width="11.5" style="7" customWidth="1"/>
    <col min="8710" max="8710" width="6.625" style="7" customWidth="1"/>
    <col min="8711" max="8711" width="11.25" style="7" customWidth="1"/>
    <col min="8712" max="8929" width="9" style="7" customWidth="1"/>
    <col min="8930" max="8930" width="9.625" style="7" customWidth="1"/>
    <col min="8931" max="8931" width="7.625" style="7" customWidth="1"/>
    <col min="8932" max="8932" width="18.5" style="7" customWidth="1"/>
    <col min="8933" max="8933" width="6.625" style="7" customWidth="1"/>
    <col min="8934" max="8934" width="12.25" style="7" customWidth="1"/>
    <col min="8935" max="8935" width="8" style="7" customWidth="1"/>
    <col min="8936" max="8936" width="10.625" style="7" customWidth="1"/>
    <col min="8937" max="8937" width="8" style="7" customWidth="1"/>
    <col min="8938" max="8938" width="11.375" style="7" customWidth="1"/>
    <col min="8939" max="8939" width="11.5" style="7" customWidth="1"/>
    <col min="8940" max="8940" width="8" style="7" customWidth="1"/>
    <col min="8941" max="8941" width="11.25" style="7" customWidth="1"/>
    <col min="8942" max="8942" width="8" style="7" customWidth="1"/>
    <col min="8943" max="8943" width="10.875" style="7" customWidth="1"/>
    <col min="8944" max="8944" width="12.25" style="7" customWidth="1"/>
    <col min="8945" max="8945" width="8" style="7" customWidth="1"/>
    <col min="8946" max="8946" width="11.875" style="7" customWidth="1"/>
    <col min="8947" max="8947" width="8" style="7" customWidth="1"/>
    <col min="8948" max="8948" width="11" style="7" customWidth="1"/>
    <col min="8949" max="8949" width="12.25" style="7" customWidth="1"/>
    <col min="8950" max="8950" width="8" style="7" customWidth="1"/>
    <col min="8951" max="8951" width="11.875" style="7" customWidth="1"/>
    <col min="8952" max="8952" width="8" style="7" customWidth="1"/>
    <col min="8953" max="8953" width="12.25" style="7" customWidth="1"/>
    <col min="8954" max="8954" width="14.25" style="7" customWidth="1"/>
    <col min="8955" max="8955" width="8" style="7" customWidth="1"/>
    <col min="8956" max="8956" width="14" style="7" customWidth="1"/>
    <col min="8957" max="8957" width="8.875" style="7" customWidth="1"/>
    <col min="8958" max="8958" width="15.25" style="7" customWidth="1"/>
    <col min="8959" max="8959" width="16.375" style="7" customWidth="1"/>
    <col min="8960" max="8960" width="8.875" style="7" customWidth="1"/>
    <col min="8961" max="8961" width="9.625" style="7" customWidth="1"/>
    <col min="8962" max="8962" width="8.75" style="7" customWidth="1"/>
    <col min="8963" max="8963" width="12.375" style="7" customWidth="1"/>
    <col min="8964" max="8964" width="8.75" style="7" customWidth="1"/>
    <col min="8965" max="8965" width="11.5" style="7" customWidth="1"/>
    <col min="8966" max="8966" width="6.625" style="7" customWidth="1"/>
    <col min="8967" max="8967" width="11.25" style="7" customWidth="1"/>
    <col min="8968" max="9185" width="9" style="7" customWidth="1"/>
    <col min="9186" max="9186" width="9.625" style="7" customWidth="1"/>
    <col min="9187" max="9187" width="7.625" style="7" customWidth="1"/>
    <col min="9188" max="9188" width="18.5" style="7" customWidth="1"/>
    <col min="9189" max="9189" width="6.625" style="7" customWidth="1"/>
    <col min="9190" max="9190" width="12.25" style="7" customWidth="1"/>
    <col min="9191" max="9191" width="8" style="7" customWidth="1"/>
    <col min="9192" max="9192" width="10.625" style="7" customWidth="1"/>
    <col min="9193" max="9193" width="8" style="7" customWidth="1"/>
    <col min="9194" max="9194" width="11.375" style="7" customWidth="1"/>
    <col min="9195" max="9195" width="11.5" style="7" customWidth="1"/>
    <col min="9196" max="9196" width="8" style="7" customWidth="1"/>
    <col min="9197" max="9197" width="11.25" style="7" customWidth="1"/>
    <col min="9198" max="9198" width="8" style="7" customWidth="1"/>
    <col min="9199" max="9199" width="10.875" style="7" customWidth="1"/>
    <col min="9200" max="9200" width="12.25" style="7" customWidth="1"/>
    <col min="9201" max="9201" width="8" style="7" customWidth="1"/>
    <col min="9202" max="9202" width="11.875" style="7" customWidth="1"/>
    <col min="9203" max="9203" width="8" style="7" customWidth="1"/>
    <col min="9204" max="9204" width="11" style="7" customWidth="1"/>
    <col min="9205" max="9205" width="12.25" style="7" customWidth="1"/>
    <col min="9206" max="9206" width="8" style="7" customWidth="1"/>
    <col min="9207" max="9207" width="11.875" style="7" customWidth="1"/>
    <col min="9208" max="9208" width="8" style="7" customWidth="1"/>
    <col min="9209" max="9209" width="12.25" style="7" customWidth="1"/>
    <col min="9210" max="9210" width="14.25" style="7" customWidth="1"/>
    <col min="9211" max="9211" width="8" style="7" customWidth="1"/>
    <col min="9212" max="9212" width="14" style="7" customWidth="1"/>
    <col min="9213" max="9213" width="8.875" style="7" customWidth="1"/>
    <col min="9214" max="9214" width="15.25" style="7" customWidth="1"/>
    <col min="9215" max="9215" width="16.375" style="7" customWidth="1"/>
    <col min="9216" max="9216" width="8.875" style="7" customWidth="1"/>
    <col min="9217" max="9217" width="9.625" style="7" customWidth="1"/>
    <col min="9218" max="9218" width="8.75" style="7" customWidth="1"/>
    <col min="9219" max="9219" width="12.375" style="7" customWidth="1"/>
    <col min="9220" max="9220" width="8.75" style="7" customWidth="1"/>
    <col min="9221" max="9221" width="11.5" style="7" customWidth="1"/>
    <col min="9222" max="9222" width="6.625" style="7" customWidth="1"/>
    <col min="9223" max="9223" width="11.25" style="7" customWidth="1"/>
    <col min="9224" max="9441" width="9" style="7" customWidth="1"/>
    <col min="9442" max="9442" width="9.625" style="7" customWidth="1"/>
    <col min="9443" max="9443" width="7.625" style="7" customWidth="1"/>
    <col min="9444" max="9444" width="18.5" style="7" customWidth="1"/>
    <col min="9445" max="9445" width="6.625" style="7" customWidth="1"/>
    <col min="9446" max="9446" width="12.25" style="7" customWidth="1"/>
    <col min="9447" max="9447" width="8" style="7" customWidth="1"/>
    <col min="9448" max="9448" width="10.625" style="7" customWidth="1"/>
    <col min="9449" max="9449" width="8" style="7" customWidth="1"/>
    <col min="9450" max="9450" width="11.375" style="7" customWidth="1"/>
    <col min="9451" max="9451" width="11.5" style="7" customWidth="1"/>
    <col min="9452" max="9452" width="8" style="7" customWidth="1"/>
    <col min="9453" max="9453" width="11.25" style="7" customWidth="1"/>
    <col min="9454" max="9454" width="8" style="7" customWidth="1"/>
    <col min="9455" max="9455" width="10.875" style="7" customWidth="1"/>
    <col min="9456" max="9456" width="12.25" style="7" customWidth="1"/>
    <col min="9457" max="9457" width="8" style="7" customWidth="1"/>
    <col min="9458" max="9458" width="11.875" style="7" customWidth="1"/>
    <col min="9459" max="9459" width="8" style="7" customWidth="1"/>
    <col min="9460" max="9460" width="11" style="7" customWidth="1"/>
    <col min="9461" max="9461" width="12.25" style="7" customWidth="1"/>
    <col min="9462" max="9462" width="8" style="7" customWidth="1"/>
    <col min="9463" max="9463" width="11.875" style="7" customWidth="1"/>
    <col min="9464" max="9464" width="8" style="7" customWidth="1"/>
    <col min="9465" max="9465" width="12.25" style="7" customWidth="1"/>
    <col min="9466" max="9466" width="14.25" style="7" customWidth="1"/>
    <col min="9467" max="9467" width="8" style="7" customWidth="1"/>
    <col min="9468" max="9468" width="14" style="7" customWidth="1"/>
    <col min="9469" max="9469" width="8.875" style="7" customWidth="1"/>
    <col min="9470" max="9470" width="15.25" style="7" customWidth="1"/>
    <col min="9471" max="9471" width="16.375" style="7" customWidth="1"/>
    <col min="9472" max="9472" width="8.875" style="7" customWidth="1"/>
    <col min="9473" max="9473" width="9.625" style="7" customWidth="1"/>
    <col min="9474" max="9474" width="8.75" style="7" customWidth="1"/>
    <col min="9475" max="9475" width="12.375" style="7" customWidth="1"/>
    <col min="9476" max="9476" width="8.75" style="7" customWidth="1"/>
    <col min="9477" max="9477" width="11.5" style="7" customWidth="1"/>
    <col min="9478" max="9478" width="6.625" style="7" customWidth="1"/>
    <col min="9479" max="9479" width="11.25" style="7" customWidth="1"/>
    <col min="9480" max="9697" width="9" style="7" customWidth="1"/>
    <col min="9698" max="9698" width="9.625" style="7" customWidth="1"/>
    <col min="9699" max="9699" width="7.625" style="7" customWidth="1"/>
    <col min="9700" max="9700" width="18.5" style="7" customWidth="1"/>
    <col min="9701" max="9701" width="6.625" style="7" customWidth="1"/>
    <col min="9702" max="9702" width="12.25" style="7" customWidth="1"/>
    <col min="9703" max="9703" width="8" style="7" customWidth="1"/>
    <col min="9704" max="9704" width="10.625" style="7" customWidth="1"/>
    <col min="9705" max="9705" width="8" style="7" customWidth="1"/>
    <col min="9706" max="9706" width="11.375" style="7" customWidth="1"/>
    <col min="9707" max="9707" width="11.5" style="7" customWidth="1"/>
    <col min="9708" max="9708" width="8" style="7" customWidth="1"/>
    <col min="9709" max="9709" width="11.25" style="7" customWidth="1"/>
    <col min="9710" max="9710" width="8" style="7" customWidth="1"/>
    <col min="9711" max="9711" width="10.875" style="7" customWidth="1"/>
    <col min="9712" max="9712" width="12.25" style="7" customWidth="1"/>
    <col min="9713" max="9713" width="8" style="7" customWidth="1"/>
    <col min="9714" max="9714" width="11.875" style="7" customWidth="1"/>
    <col min="9715" max="9715" width="8" style="7" customWidth="1"/>
    <col min="9716" max="9716" width="11" style="7" customWidth="1"/>
    <col min="9717" max="9717" width="12.25" style="7" customWidth="1"/>
    <col min="9718" max="9718" width="8" style="7" customWidth="1"/>
    <col min="9719" max="9719" width="11.875" style="7" customWidth="1"/>
    <col min="9720" max="9720" width="8" style="7" customWidth="1"/>
    <col min="9721" max="9721" width="12.25" style="7" customWidth="1"/>
    <col min="9722" max="9722" width="14.25" style="7" customWidth="1"/>
    <col min="9723" max="9723" width="8" style="7" customWidth="1"/>
    <col min="9724" max="9724" width="14" style="7" customWidth="1"/>
    <col min="9725" max="9725" width="8.875" style="7" customWidth="1"/>
    <col min="9726" max="9726" width="15.25" style="7" customWidth="1"/>
    <col min="9727" max="9727" width="16.375" style="7" customWidth="1"/>
    <col min="9728" max="9728" width="8.875" style="7" customWidth="1"/>
    <col min="9729" max="9729" width="9.625" style="7" customWidth="1"/>
    <col min="9730" max="9730" width="8.75" style="7" customWidth="1"/>
    <col min="9731" max="9731" width="12.375" style="7" customWidth="1"/>
    <col min="9732" max="9732" width="8.75" style="7" customWidth="1"/>
    <col min="9733" max="9733" width="11.5" style="7" customWidth="1"/>
    <col min="9734" max="9734" width="6.625" style="7" customWidth="1"/>
    <col min="9735" max="9735" width="11.25" style="7" customWidth="1"/>
    <col min="9736" max="9953" width="9" style="7" customWidth="1"/>
    <col min="9954" max="9954" width="9.625" style="7" customWidth="1"/>
    <col min="9955" max="9955" width="7.625" style="7" customWidth="1"/>
    <col min="9956" max="9956" width="18.5" style="7" customWidth="1"/>
    <col min="9957" max="9957" width="6.625" style="7" customWidth="1"/>
    <col min="9958" max="9958" width="12.25" style="7" customWidth="1"/>
    <col min="9959" max="9959" width="8" style="7" customWidth="1"/>
    <col min="9960" max="9960" width="10.625" style="7" customWidth="1"/>
    <col min="9961" max="9961" width="8" style="7" customWidth="1"/>
    <col min="9962" max="9962" width="11.375" style="7" customWidth="1"/>
    <col min="9963" max="9963" width="11.5" style="7" customWidth="1"/>
    <col min="9964" max="9964" width="8" style="7" customWidth="1"/>
    <col min="9965" max="9965" width="11.25" style="7" customWidth="1"/>
    <col min="9966" max="9966" width="8" style="7" customWidth="1"/>
    <col min="9967" max="9967" width="10.875" style="7" customWidth="1"/>
    <col min="9968" max="9968" width="12.25" style="7" customWidth="1"/>
    <col min="9969" max="9969" width="8" style="7" customWidth="1"/>
    <col min="9970" max="9970" width="11.875" style="7" customWidth="1"/>
    <col min="9971" max="9971" width="8" style="7" customWidth="1"/>
    <col min="9972" max="9972" width="11" style="7" customWidth="1"/>
    <col min="9973" max="9973" width="12.25" style="7" customWidth="1"/>
    <col min="9974" max="9974" width="8" style="7" customWidth="1"/>
    <col min="9975" max="9975" width="11.875" style="7" customWidth="1"/>
    <col min="9976" max="9976" width="8" style="7" customWidth="1"/>
    <col min="9977" max="9977" width="12.25" style="7" customWidth="1"/>
    <col min="9978" max="9978" width="14.25" style="7" customWidth="1"/>
    <col min="9979" max="9979" width="8" style="7" customWidth="1"/>
    <col min="9980" max="9980" width="14" style="7" customWidth="1"/>
    <col min="9981" max="9981" width="8.875" style="7" customWidth="1"/>
    <col min="9982" max="9982" width="15.25" style="7" customWidth="1"/>
    <col min="9983" max="9983" width="16.375" style="7" customWidth="1"/>
    <col min="9984" max="9984" width="8.875" style="7" customWidth="1"/>
    <col min="9985" max="9985" width="9.625" style="7" customWidth="1"/>
    <col min="9986" max="9986" width="8.75" style="7" customWidth="1"/>
    <col min="9987" max="9987" width="12.375" style="7" customWidth="1"/>
    <col min="9988" max="9988" width="8.75" style="7" customWidth="1"/>
    <col min="9989" max="9989" width="11.5" style="7" customWidth="1"/>
    <col min="9990" max="9990" width="6.625" style="7" customWidth="1"/>
    <col min="9991" max="9991" width="11.25" style="7" customWidth="1"/>
    <col min="9992" max="10209" width="9" style="7" customWidth="1"/>
    <col min="10210" max="10210" width="9.625" style="7" customWidth="1"/>
    <col min="10211" max="10211" width="7.625" style="7" customWidth="1"/>
    <col min="10212" max="10212" width="18.5" style="7" customWidth="1"/>
    <col min="10213" max="10213" width="6.625" style="7" customWidth="1"/>
    <col min="10214" max="10214" width="12.25" style="7" customWidth="1"/>
    <col min="10215" max="10215" width="8" style="7" customWidth="1"/>
    <col min="10216" max="10216" width="10.625" style="7" customWidth="1"/>
    <col min="10217" max="10217" width="8" style="7" customWidth="1"/>
    <col min="10218" max="10218" width="11.375" style="7" customWidth="1"/>
    <col min="10219" max="10219" width="11.5" style="7" customWidth="1"/>
    <col min="10220" max="10220" width="8" style="7" customWidth="1"/>
    <col min="10221" max="10221" width="11.25" style="7" customWidth="1"/>
    <col min="10222" max="10222" width="8" style="7" customWidth="1"/>
    <col min="10223" max="10223" width="10.875" style="7" customWidth="1"/>
    <col min="10224" max="10224" width="12.25" style="7" customWidth="1"/>
    <col min="10225" max="10225" width="8" style="7" customWidth="1"/>
    <col min="10226" max="10226" width="11.875" style="7" customWidth="1"/>
    <col min="10227" max="10227" width="8" style="7" customWidth="1"/>
    <col min="10228" max="10228" width="11" style="7" customWidth="1"/>
    <col min="10229" max="10229" width="12.25" style="7" customWidth="1"/>
    <col min="10230" max="10230" width="8" style="7" customWidth="1"/>
    <col min="10231" max="10231" width="11.875" style="7" customWidth="1"/>
    <col min="10232" max="10232" width="8" style="7" customWidth="1"/>
    <col min="10233" max="10233" width="12.25" style="7" customWidth="1"/>
    <col min="10234" max="10234" width="14.25" style="7" customWidth="1"/>
    <col min="10235" max="10235" width="8" style="7" customWidth="1"/>
    <col min="10236" max="10236" width="14" style="7" customWidth="1"/>
    <col min="10237" max="10237" width="8.875" style="7" customWidth="1"/>
    <col min="10238" max="10238" width="15.25" style="7" customWidth="1"/>
    <col min="10239" max="10239" width="16.375" style="7" customWidth="1"/>
    <col min="10240" max="10240" width="8.875" style="7" customWidth="1"/>
    <col min="10241" max="10241" width="9.625" style="7" customWidth="1"/>
    <col min="10242" max="10242" width="8.75" style="7" customWidth="1"/>
    <col min="10243" max="10243" width="12.375" style="7" customWidth="1"/>
    <col min="10244" max="10244" width="8.75" style="7" customWidth="1"/>
    <col min="10245" max="10245" width="11.5" style="7" customWidth="1"/>
    <col min="10246" max="10246" width="6.625" style="7" customWidth="1"/>
    <col min="10247" max="10247" width="11.25" style="7" customWidth="1"/>
    <col min="10248" max="10465" width="9" style="7" customWidth="1"/>
    <col min="10466" max="10466" width="9.625" style="7" customWidth="1"/>
    <col min="10467" max="10467" width="7.625" style="7" customWidth="1"/>
    <col min="10468" max="10468" width="18.5" style="7" customWidth="1"/>
    <col min="10469" max="10469" width="6.625" style="7" customWidth="1"/>
    <col min="10470" max="10470" width="12.25" style="7" customWidth="1"/>
    <col min="10471" max="10471" width="8" style="7" customWidth="1"/>
    <col min="10472" max="10472" width="10.625" style="7" customWidth="1"/>
    <col min="10473" max="10473" width="8" style="7" customWidth="1"/>
    <col min="10474" max="10474" width="11.375" style="7" customWidth="1"/>
    <col min="10475" max="10475" width="11.5" style="7" customWidth="1"/>
    <col min="10476" max="10476" width="8" style="7" customWidth="1"/>
    <col min="10477" max="10477" width="11.25" style="7" customWidth="1"/>
    <col min="10478" max="10478" width="8" style="7" customWidth="1"/>
    <col min="10479" max="10479" width="10.875" style="7" customWidth="1"/>
    <col min="10480" max="10480" width="12.25" style="7" customWidth="1"/>
    <col min="10481" max="10481" width="8" style="7" customWidth="1"/>
    <col min="10482" max="10482" width="11.875" style="7" customWidth="1"/>
    <col min="10483" max="10483" width="8" style="7" customWidth="1"/>
    <col min="10484" max="10484" width="11" style="7" customWidth="1"/>
    <col min="10485" max="10485" width="12.25" style="7" customWidth="1"/>
    <col min="10486" max="10486" width="8" style="7" customWidth="1"/>
    <col min="10487" max="10487" width="11.875" style="7" customWidth="1"/>
    <col min="10488" max="10488" width="8" style="7" customWidth="1"/>
    <col min="10489" max="10489" width="12.25" style="7" customWidth="1"/>
    <col min="10490" max="10490" width="14.25" style="7" customWidth="1"/>
    <col min="10491" max="10491" width="8" style="7" customWidth="1"/>
    <col min="10492" max="10492" width="14" style="7" customWidth="1"/>
    <col min="10493" max="10493" width="8.875" style="7" customWidth="1"/>
    <col min="10494" max="10494" width="15.25" style="7" customWidth="1"/>
    <col min="10495" max="10495" width="16.375" style="7" customWidth="1"/>
    <col min="10496" max="10496" width="8.875" style="7" customWidth="1"/>
    <col min="10497" max="10497" width="9.625" style="7" customWidth="1"/>
    <col min="10498" max="10498" width="8.75" style="7" customWidth="1"/>
    <col min="10499" max="10499" width="12.375" style="7" customWidth="1"/>
    <col min="10500" max="10500" width="8.75" style="7" customWidth="1"/>
    <col min="10501" max="10501" width="11.5" style="7" customWidth="1"/>
    <col min="10502" max="10502" width="6.625" style="7" customWidth="1"/>
    <col min="10503" max="10503" width="11.25" style="7" customWidth="1"/>
    <col min="10504" max="10721" width="9" style="7" customWidth="1"/>
    <col min="10722" max="10722" width="9.625" style="7" customWidth="1"/>
    <col min="10723" max="10723" width="7.625" style="7" customWidth="1"/>
    <col min="10724" max="10724" width="18.5" style="7" customWidth="1"/>
    <col min="10725" max="10725" width="6.625" style="7" customWidth="1"/>
    <col min="10726" max="10726" width="12.25" style="7" customWidth="1"/>
    <col min="10727" max="10727" width="8" style="7" customWidth="1"/>
    <col min="10728" max="10728" width="10.625" style="7" customWidth="1"/>
    <col min="10729" max="10729" width="8" style="7" customWidth="1"/>
    <col min="10730" max="10730" width="11.375" style="7" customWidth="1"/>
    <col min="10731" max="10731" width="11.5" style="7" customWidth="1"/>
    <col min="10732" max="10732" width="8" style="7" customWidth="1"/>
    <col min="10733" max="10733" width="11.25" style="7" customWidth="1"/>
    <col min="10734" max="10734" width="8" style="7" customWidth="1"/>
    <col min="10735" max="10735" width="10.875" style="7" customWidth="1"/>
    <col min="10736" max="10736" width="12.25" style="7" customWidth="1"/>
    <col min="10737" max="10737" width="8" style="7" customWidth="1"/>
    <col min="10738" max="10738" width="11.875" style="7" customWidth="1"/>
    <col min="10739" max="10739" width="8" style="7" customWidth="1"/>
    <col min="10740" max="10740" width="11" style="7" customWidth="1"/>
    <col min="10741" max="10741" width="12.25" style="7" customWidth="1"/>
    <col min="10742" max="10742" width="8" style="7" customWidth="1"/>
    <col min="10743" max="10743" width="11.875" style="7" customWidth="1"/>
    <col min="10744" max="10744" width="8" style="7" customWidth="1"/>
    <col min="10745" max="10745" width="12.25" style="7" customWidth="1"/>
    <col min="10746" max="10746" width="14.25" style="7" customWidth="1"/>
    <col min="10747" max="10747" width="8" style="7" customWidth="1"/>
    <col min="10748" max="10748" width="14" style="7" customWidth="1"/>
    <col min="10749" max="10749" width="8.875" style="7" customWidth="1"/>
    <col min="10750" max="10750" width="15.25" style="7" customWidth="1"/>
    <col min="10751" max="10751" width="16.375" style="7" customWidth="1"/>
    <col min="10752" max="10752" width="8.875" style="7" customWidth="1"/>
    <col min="10753" max="10753" width="9.625" style="7" customWidth="1"/>
    <col min="10754" max="10754" width="8.75" style="7" customWidth="1"/>
    <col min="10755" max="10755" width="12.375" style="7" customWidth="1"/>
    <col min="10756" max="10756" width="8.75" style="7" customWidth="1"/>
    <col min="10757" max="10757" width="11.5" style="7" customWidth="1"/>
    <col min="10758" max="10758" width="6.625" style="7" customWidth="1"/>
    <col min="10759" max="10759" width="11.25" style="7" customWidth="1"/>
    <col min="10760" max="10977" width="9" style="7" customWidth="1"/>
    <col min="10978" max="10978" width="9.625" style="7" customWidth="1"/>
    <col min="10979" max="10979" width="7.625" style="7" customWidth="1"/>
    <col min="10980" max="10980" width="18.5" style="7" customWidth="1"/>
    <col min="10981" max="10981" width="6.625" style="7" customWidth="1"/>
    <col min="10982" max="10982" width="12.25" style="7" customWidth="1"/>
    <col min="10983" max="10983" width="8" style="7" customWidth="1"/>
    <col min="10984" max="10984" width="10.625" style="7" customWidth="1"/>
    <col min="10985" max="10985" width="8" style="7" customWidth="1"/>
    <col min="10986" max="10986" width="11.375" style="7" customWidth="1"/>
    <col min="10987" max="10987" width="11.5" style="7" customWidth="1"/>
    <col min="10988" max="10988" width="8" style="7" customWidth="1"/>
    <col min="10989" max="10989" width="11.25" style="7" customWidth="1"/>
    <col min="10990" max="10990" width="8" style="7" customWidth="1"/>
    <col min="10991" max="10991" width="10.875" style="7" customWidth="1"/>
    <col min="10992" max="10992" width="12.25" style="7" customWidth="1"/>
    <col min="10993" max="10993" width="8" style="7" customWidth="1"/>
    <col min="10994" max="10994" width="11.875" style="7" customWidth="1"/>
    <col min="10995" max="10995" width="8" style="7" customWidth="1"/>
    <col min="10996" max="10996" width="11" style="7" customWidth="1"/>
    <col min="10997" max="10997" width="12.25" style="7" customWidth="1"/>
    <col min="10998" max="10998" width="8" style="7" customWidth="1"/>
    <col min="10999" max="10999" width="11.875" style="7" customWidth="1"/>
    <col min="11000" max="11000" width="8" style="7" customWidth="1"/>
    <col min="11001" max="11001" width="12.25" style="7" customWidth="1"/>
    <col min="11002" max="11002" width="14.25" style="7" customWidth="1"/>
    <col min="11003" max="11003" width="8" style="7" customWidth="1"/>
    <col min="11004" max="11004" width="14" style="7" customWidth="1"/>
    <col min="11005" max="11005" width="8.875" style="7" customWidth="1"/>
    <col min="11006" max="11006" width="15.25" style="7" customWidth="1"/>
    <col min="11007" max="11007" width="16.375" style="7" customWidth="1"/>
    <col min="11008" max="11008" width="8.875" style="7" customWidth="1"/>
    <col min="11009" max="11009" width="9.625" style="7" customWidth="1"/>
    <col min="11010" max="11010" width="8.75" style="7" customWidth="1"/>
    <col min="11011" max="11011" width="12.375" style="7" customWidth="1"/>
    <col min="11012" max="11012" width="8.75" style="7" customWidth="1"/>
    <col min="11013" max="11013" width="11.5" style="7" customWidth="1"/>
    <col min="11014" max="11014" width="6.625" style="7" customWidth="1"/>
    <col min="11015" max="11015" width="11.25" style="7" customWidth="1"/>
    <col min="11016" max="11233" width="9" style="7" customWidth="1"/>
    <col min="11234" max="11234" width="9.625" style="7" customWidth="1"/>
    <col min="11235" max="11235" width="7.625" style="7" customWidth="1"/>
    <col min="11236" max="11236" width="18.5" style="7" customWidth="1"/>
    <col min="11237" max="11237" width="6.625" style="7" customWidth="1"/>
    <col min="11238" max="11238" width="12.25" style="7" customWidth="1"/>
    <col min="11239" max="11239" width="8" style="7" customWidth="1"/>
    <col min="11240" max="11240" width="10.625" style="7" customWidth="1"/>
    <col min="11241" max="11241" width="8" style="7" customWidth="1"/>
    <col min="11242" max="11242" width="11.375" style="7" customWidth="1"/>
    <col min="11243" max="11243" width="11.5" style="7" customWidth="1"/>
    <col min="11244" max="11244" width="8" style="7" customWidth="1"/>
    <col min="11245" max="11245" width="11.25" style="7" customWidth="1"/>
    <col min="11246" max="11246" width="8" style="7" customWidth="1"/>
    <col min="11247" max="11247" width="10.875" style="7" customWidth="1"/>
    <col min="11248" max="11248" width="12.25" style="7" customWidth="1"/>
    <col min="11249" max="11249" width="8" style="7" customWidth="1"/>
    <col min="11250" max="11250" width="11.875" style="7" customWidth="1"/>
    <col min="11251" max="11251" width="8" style="7" customWidth="1"/>
    <col min="11252" max="11252" width="11" style="7" customWidth="1"/>
    <col min="11253" max="11253" width="12.25" style="7" customWidth="1"/>
    <col min="11254" max="11254" width="8" style="7" customWidth="1"/>
    <col min="11255" max="11255" width="11.875" style="7" customWidth="1"/>
    <col min="11256" max="11256" width="8" style="7" customWidth="1"/>
    <col min="11257" max="11257" width="12.25" style="7" customWidth="1"/>
    <col min="11258" max="11258" width="14.25" style="7" customWidth="1"/>
    <col min="11259" max="11259" width="8" style="7" customWidth="1"/>
    <col min="11260" max="11260" width="14" style="7" customWidth="1"/>
    <col min="11261" max="11261" width="8.875" style="7" customWidth="1"/>
    <col min="11262" max="11262" width="15.25" style="7" customWidth="1"/>
    <col min="11263" max="11263" width="16.375" style="7" customWidth="1"/>
    <col min="11264" max="11264" width="8.875" style="7" customWidth="1"/>
    <col min="11265" max="11265" width="9.625" style="7" customWidth="1"/>
    <col min="11266" max="11266" width="8.75" style="7" customWidth="1"/>
    <col min="11267" max="11267" width="12.375" style="7" customWidth="1"/>
    <col min="11268" max="11268" width="8.75" style="7" customWidth="1"/>
    <col min="11269" max="11269" width="11.5" style="7" customWidth="1"/>
    <col min="11270" max="11270" width="6.625" style="7" customWidth="1"/>
    <col min="11271" max="11271" width="11.25" style="7" customWidth="1"/>
    <col min="11272" max="11489" width="9" style="7" customWidth="1"/>
    <col min="11490" max="11490" width="9.625" style="7" customWidth="1"/>
    <col min="11491" max="11491" width="7.625" style="7" customWidth="1"/>
    <col min="11492" max="11492" width="18.5" style="7" customWidth="1"/>
    <col min="11493" max="11493" width="6.625" style="7" customWidth="1"/>
    <col min="11494" max="11494" width="12.25" style="7" customWidth="1"/>
    <col min="11495" max="11495" width="8" style="7" customWidth="1"/>
    <col min="11496" max="11496" width="10.625" style="7" customWidth="1"/>
    <col min="11497" max="11497" width="8" style="7" customWidth="1"/>
    <col min="11498" max="11498" width="11.375" style="7" customWidth="1"/>
    <col min="11499" max="11499" width="11.5" style="7" customWidth="1"/>
    <col min="11500" max="11500" width="8" style="7" customWidth="1"/>
    <col min="11501" max="11501" width="11.25" style="7" customWidth="1"/>
    <col min="11502" max="11502" width="8" style="7" customWidth="1"/>
    <col min="11503" max="11503" width="10.875" style="7" customWidth="1"/>
    <col min="11504" max="11504" width="12.25" style="7" customWidth="1"/>
    <col min="11505" max="11505" width="8" style="7" customWidth="1"/>
    <col min="11506" max="11506" width="11.875" style="7" customWidth="1"/>
    <col min="11507" max="11507" width="8" style="7" customWidth="1"/>
    <col min="11508" max="11508" width="11" style="7" customWidth="1"/>
    <col min="11509" max="11509" width="12.25" style="7" customWidth="1"/>
    <col min="11510" max="11510" width="8" style="7" customWidth="1"/>
    <col min="11511" max="11511" width="11.875" style="7" customWidth="1"/>
    <col min="11512" max="11512" width="8" style="7" customWidth="1"/>
    <col min="11513" max="11513" width="12.25" style="7" customWidth="1"/>
    <col min="11514" max="11514" width="14.25" style="7" customWidth="1"/>
    <col min="11515" max="11515" width="8" style="7" customWidth="1"/>
    <col min="11516" max="11516" width="14" style="7" customWidth="1"/>
    <col min="11517" max="11517" width="8.875" style="7" customWidth="1"/>
    <col min="11518" max="11518" width="15.25" style="7" customWidth="1"/>
    <col min="11519" max="11519" width="16.375" style="7" customWidth="1"/>
    <col min="11520" max="11520" width="8.875" style="7" customWidth="1"/>
    <col min="11521" max="11521" width="9.625" style="7" customWidth="1"/>
    <col min="11522" max="11522" width="8.75" style="7" customWidth="1"/>
    <col min="11523" max="11523" width="12.375" style="7" customWidth="1"/>
    <col min="11524" max="11524" width="8.75" style="7" customWidth="1"/>
    <col min="11525" max="11525" width="11.5" style="7" customWidth="1"/>
    <col min="11526" max="11526" width="6.625" style="7" customWidth="1"/>
    <col min="11527" max="11527" width="11.25" style="7" customWidth="1"/>
    <col min="11528" max="11745" width="9" style="7" customWidth="1"/>
    <col min="11746" max="11746" width="9.625" style="7" customWidth="1"/>
    <col min="11747" max="11747" width="7.625" style="7" customWidth="1"/>
    <col min="11748" max="11748" width="18.5" style="7" customWidth="1"/>
    <col min="11749" max="11749" width="6.625" style="7" customWidth="1"/>
    <col min="11750" max="11750" width="12.25" style="7" customWidth="1"/>
    <col min="11751" max="11751" width="8" style="7" customWidth="1"/>
    <col min="11752" max="11752" width="10.625" style="7" customWidth="1"/>
    <col min="11753" max="11753" width="8" style="7" customWidth="1"/>
    <col min="11754" max="11754" width="11.375" style="7" customWidth="1"/>
    <col min="11755" max="11755" width="11.5" style="7" customWidth="1"/>
    <col min="11756" max="11756" width="8" style="7" customWidth="1"/>
    <col min="11757" max="11757" width="11.25" style="7" customWidth="1"/>
    <col min="11758" max="11758" width="8" style="7" customWidth="1"/>
    <col min="11759" max="11759" width="10.875" style="7" customWidth="1"/>
    <col min="11760" max="11760" width="12.25" style="7" customWidth="1"/>
    <col min="11761" max="11761" width="8" style="7" customWidth="1"/>
    <col min="11762" max="11762" width="11.875" style="7" customWidth="1"/>
    <col min="11763" max="11763" width="8" style="7" customWidth="1"/>
    <col min="11764" max="11764" width="11" style="7" customWidth="1"/>
    <col min="11765" max="11765" width="12.25" style="7" customWidth="1"/>
    <col min="11766" max="11766" width="8" style="7" customWidth="1"/>
    <col min="11767" max="11767" width="11.875" style="7" customWidth="1"/>
    <col min="11768" max="11768" width="8" style="7" customWidth="1"/>
    <col min="11769" max="11769" width="12.25" style="7" customWidth="1"/>
    <col min="11770" max="11770" width="14.25" style="7" customWidth="1"/>
    <col min="11771" max="11771" width="8" style="7" customWidth="1"/>
    <col min="11772" max="11772" width="14" style="7" customWidth="1"/>
    <col min="11773" max="11773" width="8.875" style="7" customWidth="1"/>
    <col min="11774" max="11774" width="15.25" style="7" customWidth="1"/>
    <col min="11775" max="11775" width="16.375" style="7" customWidth="1"/>
    <col min="11776" max="11776" width="8.875" style="7" customWidth="1"/>
    <col min="11777" max="11777" width="9.625" style="7" customWidth="1"/>
    <col min="11778" max="11778" width="8.75" style="7" customWidth="1"/>
    <col min="11779" max="11779" width="12.375" style="7" customWidth="1"/>
    <col min="11780" max="11780" width="8.75" style="7" customWidth="1"/>
    <col min="11781" max="11781" width="11.5" style="7" customWidth="1"/>
    <col min="11782" max="11782" width="6.625" style="7" customWidth="1"/>
    <col min="11783" max="11783" width="11.25" style="7" customWidth="1"/>
    <col min="11784" max="12001" width="9" style="7" customWidth="1"/>
    <col min="12002" max="12002" width="9.625" style="7" customWidth="1"/>
    <col min="12003" max="12003" width="7.625" style="7" customWidth="1"/>
    <col min="12004" max="12004" width="18.5" style="7" customWidth="1"/>
    <col min="12005" max="12005" width="6.625" style="7" customWidth="1"/>
    <col min="12006" max="12006" width="12.25" style="7" customWidth="1"/>
    <col min="12007" max="12007" width="8" style="7" customWidth="1"/>
    <col min="12008" max="12008" width="10.625" style="7" customWidth="1"/>
    <col min="12009" max="12009" width="8" style="7" customWidth="1"/>
    <col min="12010" max="12010" width="11.375" style="7" customWidth="1"/>
    <col min="12011" max="12011" width="11.5" style="7" customWidth="1"/>
    <col min="12012" max="12012" width="8" style="7" customWidth="1"/>
    <col min="12013" max="12013" width="11.25" style="7" customWidth="1"/>
    <col min="12014" max="12014" width="8" style="7" customWidth="1"/>
    <col min="12015" max="12015" width="10.875" style="7" customWidth="1"/>
    <col min="12016" max="12016" width="12.25" style="7" customWidth="1"/>
    <col min="12017" max="12017" width="8" style="7" customWidth="1"/>
    <col min="12018" max="12018" width="11.875" style="7" customWidth="1"/>
    <col min="12019" max="12019" width="8" style="7" customWidth="1"/>
    <col min="12020" max="12020" width="11" style="7" customWidth="1"/>
    <col min="12021" max="12021" width="12.25" style="7" customWidth="1"/>
    <col min="12022" max="12022" width="8" style="7" customWidth="1"/>
    <col min="12023" max="12023" width="11.875" style="7" customWidth="1"/>
    <col min="12024" max="12024" width="8" style="7" customWidth="1"/>
    <col min="12025" max="12025" width="12.25" style="7" customWidth="1"/>
    <col min="12026" max="12026" width="14.25" style="7" customWidth="1"/>
    <col min="12027" max="12027" width="8" style="7" customWidth="1"/>
    <col min="12028" max="12028" width="14" style="7" customWidth="1"/>
    <col min="12029" max="12029" width="8.875" style="7" customWidth="1"/>
    <col min="12030" max="12030" width="15.25" style="7" customWidth="1"/>
    <col min="12031" max="12031" width="16.375" style="7" customWidth="1"/>
    <col min="12032" max="12032" width="8.875" style="7" customWidth="1"/>
    <col min="12033" max="12033" width="9.625" style="7" customWidth="1"/>
    <col min="12034" max="12034" width="8.75" style="7" customWidth="1"/>
    <col min="12035" max="12035" width="12.375" style="7" customWidth="1"/>
    <col min="12036" max="12036" width="8.75" style="7" customWidth="1"/>
    <col min="12037" max="12037" width="11.5" style="7" customWidth="1"/>
    <col min="12038" max="12038" width="6.625" style="7" customWidth="1"/>
    <col min="12039" max="12039" width="11.25" style="7" customWidth="1"/>
    <col min="12040" max="12257" width="9" style="7" customWidth="1"/>
    <col min="12258" max="12258" width="9.625" style="7" customWidth="1"/>
    <col min="12259" max="12259" width="7.625" style="7" customWidth="1"/>
    <col min="12260" max="12260" width="18.5" style="7" customWidth="1"/>
    <col min="12261" max="12261" width="6.625" style="7" customWidth="1"/>
    <col min="12262" max="12262" width="12.25" style="7" customWidth="1"/>
    <col min="12263" max="12263" width="8" style="7" customWidth="1"/>
    <col min="12264" max="12264" width="10.625" style="7" customWidth="1"/>
    <col min="12265" max="12265" width="8" style="7" customWidth="1"/>
    <col min="12266" max="12266" width="11.375" style="7" customWidth="1"/>
    <col min="12267" max="12267" width="11.5" style="7" customWidth="1"/>
    <col min="12268" max="12268" width="8" style="7" customWidth="1"/>
    <col min="12269" max="12269" width="11.25" style="7" customWidth="1"/>
    <col min="12270" max="12270" width="8" style="7" customWidth="1"/>
    <col min="12271" max="12271" width="10.875" style="7" customWidth="1"/>
    <col min="12272" max="12272" width="12.25" style="7" customWidth="1"/>
    <col min="12273" max="12273" width="8" style="7" customWidth="1"/>
    <col min="12274" max="12274" width="11.875" style="7" customWidth="1"/>
    <col min="12275" max="12275" width="8" style="7" customWidth="1"/>
    <col min="12276" max="12276" width="11" style="7" customWidth="1"/>
    <col min="12277" max="12277" width="12.25" style="7" customWidth="1"/>
    <col min="12278" max="12278" width="8" style="7" customWidth="1"/>
    <col min="12279" max="12279" width="11.875" style="7" customWidth="1"/>
    <col min="12280" max="12280" width="8" style="7" customWidth="1"/>
    <col min="12281" max="12281" width="12.25" style="7" customWidth="1"/>
    <col min="12282" max="12282" width="14.25" style="7" customWidth="1"/>
    <col min="12283" max="12283" width="8" style="7" customWidth="1"/>
    <col min="12284" max="12284" width="14" style="7" customWidth="1"/>
    <col min="12285" max="12285" width="8.875" style="7" customWidth="1"/>
    <col min="12286" max="12286" width="15.25" style="7" customWidth="1"/>
    <col min="12287" max="12287" width="16.375" style="7" customWidth="1"/>
    <col min="12288" max="12288" width="8.875" style="7" customWidth="1"/>
    <col min="12289" max="12289" width="9.625" style="7" customWidth="1"/>
    <col min="12290" max="12290" width="8.75" style="7" customWidth="1"/>
    <col min="12291" max="12291" width="12.375" style="7" customWidth="1"/>
    <col min="12292" max="12292" width="8.75" style="7" customWidth="1"/>
    <col min="12293" max="12293" width="11.5" style="7" customWidth="1"/>
    <col min="12294" max="12294" width="6.625" style="7" customWidth="1"/>
    <col min="12295" max="12295" width="11.25" style="7" customWidth="1"/>
    <col min="12296" max="12513" width="9" style="7" customWidth="1"/>
    <col min="12514" max="12514" width="9.625" style="7" customWidth="1"/>
    <col min="12515" max="12515" width="7.625" style="7" customWidth="1"/>
    <col min="12516" max="12516" width="18.5" style="7" customWidth="1"/>
    <col min="12517" max="12517" width="6.625" style="7" customWidth="1"/>
    <col min="12518" max="12518" width="12.25" style="7" customWidth="1"/>
    <col min="12519" max="12519" width="8" style="7" customWidth="1"/>
    <col min="12520" max="12520" width="10.625" style="7" customWidth="1"/>
    <col min="12521" max="12521" width="8" style="7" customWidth="1"/>
    <col min="12522" max="12522" width="11.375" style="7" customWidth="1"/>
    <col min="12523" max="12523" width="11.5" style="7" customWidth="1"/>
    <col min="12524" max="12524" width="8" style="7" customWidth="1"/>
    <col min="12525" max="12525" width="11.25" style="7" customWidth="1"/>
    <col min="12526" max="12526" width="8" style="7" customWidth="1"/>
    <col min="12527" max="12527" width="10.875" style="7" customWidth="1"/>
    <col min="12528" max="12528" width="12.25" style="7" customWidth="1"/>
    <col min="12529" max="12529" width="8" style="7" customWidth="1"/>
    <col min="12530" max="12530" width="11.875" style="7" customWidth="1"/>
    <col min="12531" max="12531" width="8" style="7" customWidth="1"/>
    <col min="12532" max="12532" width="11" style="7" customWidth="1"/>
    <col min="12533" max="12533" width="12.25" style="7" customWidth="1"/>
    <col min="12534" max="12534" width="8" style="7" customWidth="1"/>
    <col min="12535" max="12535" width="11.875" style="7" customWidth="1"/>
    <col min="12536" max="12536" width="8" style="7" customWidth="1"/>
    <col min="12537" max="12537" width="12.25" style="7" customWidth="1"/>
    <col min="12538" max="12538" width="14.25" style="7" customWidth="1"/>
    <col min="12539" max="12539" width="8" style="7" customWidth="1"/>
    <col min="12540" max="12540" width="14" style="7" customWidth="1"/>
    <col min="12541" max="12541" width="8.875" style="7" customWidth="1"/>
    <col min="12542" max="12542" width="15.25" style="7" customWidth="1"/>
    <col min="12543" max="12543" width="16.375" style="7" customWidth="1"/>
    <col min="12544" max="12544" width="8.875" style="7" customWidth="1"/>
    <col min="12545" max="12545" width="9.625" style="7" customWidth="1"/>
    <col min="12546" max="12546" width="8.75" style="7" customWidth="1"/>
    <col min="12547" max="12547" width="12.375" style="7" customWidth="1"/>
    <col min="12548" max="12548" width="8.75" style="7" customWidth="1"/>
    <col min="12549" max="12549" width="11.5" style="7" customWidth="1"/>
    <col min="12550" max="12550" width="6.625" style="7" customWidth="1"/>
    <col min="12551" max="12551" width="11.25" style="7" customWidth="1"/>
    <col min="12552" max="12769" width="9" style="7" customWidth="1"/>
    <col min="12770" max="12770" width="9.625" style="7" customWidth="1"/>
    <col min="12771" max="12771" width="7.625" style="7" customWidth="1"/>
    <col min="12772" max="12772" width="18.5" style="7" customWidth="1"/>
    <col min="12773" max="12773" width="6.625" style="7" customWidth="1"/>
    <col min="12774" max="12774" width="12.25" style="7" customWidth="1"/>
    <col min="12775" max="12775" width="8" style="7" customWidth="1"/>
    <col min="12776" max="12776" width="10.625" style="7" customWidth="1"/>
    <col min="12777" max="12777" width="8" style="7" customWidth="1"/>
    <col min="12778" max="12778" width="11.375" style="7" customWidth="1"/>
    <col min="12779" max="12779" width="11.5" style="7" customWidth="1"/>
    <col min="12780" max="12780" width="8" style="7" customWidth="1"/>
    <col min="12781" max="12781" width="11.25" style="7" customWidth="1"/>
    <col min="12782" max="12782" width="8" style="7" customWidth="1"/>
    <col min="12783" max="12783" width="10.875" style="7" customWidth="1"/>
    <col min="12784" max="12784" width="12.25" style="7" customWidth="1"/>
    <col min="12785" max="12785" width="8" style="7" customWidth="1"/>
    <col min="12786" max="12786" width="11.875" style="7" customWidth="1"/>
    <col min="12787" max="12787" width="8" style="7" customWidth="1"/>
    <col min="12788" max="12788" width="11" style="7" customWidth="1"/>
    <col min="12789" max="12789" width="12.25" style="7" customWidth="1"/>
    <col min="12790" max="12790" width="8" style="7" customWidth="1"/>
    <col min="12791" max="12791" width="11.875" style="7" customWidth="1"/>
    <col min="12792" max="12792" width="8" style="7" customWidth="1"/>
    <col min="12793" max="12793" width="12.25" style="7" customWidth="1"/>
    <col min="12794" max="12794" width="14.25" style="7" customWidth="1"/>
    <col min="12795" max="12795" width="8" style="7" customWidth="1"/>
    <col min="12796" max="12796" width="14" style="7" customWidth="1"/>
    <col min="12797" max="12797" width="8.875" style="7" customWidth="1"/>
    <col min="12798" max="12798" width="15.25" style="7" customWidth="1"/>
    <col min="12799" max="12799" width="16.375" style="7" customWidth="1"/>
    <col min="12800" max="12800" width="8.875" style="7" customWidth="1"/>
    <col min="12801" max="12801" width="9.625" style="7" customWidth="1"/>
    <col min="12802" max="12802" width="8.75" style="7" customWidth="1"/>
    <col min="12803" max="12803" width="12.375" style="7" customWidth="1"/>
    <col min="12804" max="12804" width="8.75" style="7" customWidth="1"/>
    <col min="12805" max="12805" width="11.5" style="7" customWidth="1"/>
    <col min="12806" max="12806" width="6.625" style="7" customWidth="1"/>
    <col min="12807" max="12807" width="11.25" style="7" customWidth="1"/>
    <col min="12808" max="13025" width="9" style="7" customWidth="1"/>
    <col min="13026" max="13026" width="9.625" style="7" customWidth="1"/>
    <col min="13027" max="13027" width="7.625" style="7" customWidth="1"/>
    <col min="13028" max="13028" width="18.5" style="7" customWidth="1"/>
    <col min="13029" max="13029" width="6.625" style="7" customWidth="1"/>
    <col min="13030" max="13030" width="12.25" style="7" customWidth="1"/>
    <col min="13031" max="13031" width="8" style="7" customWidth="1"/>
    <col min="13032" max="13032" width="10.625" style="7" customWidth="1"/>
    <col min="13033" max="13033" width="8" style="7" customWidth="1"/>
    <col min="13034" max="13034" width="11.375" style="7" customWidth="1"/>
    <col min="13035" max="13035" width="11.5" style="7" customWidth="1"/>
    <col min="13036" max="13036" width="8" style="7" customWidth="1"/>
    <col min="13037" max="13037" width="11.25" style="7" customWidth="1"/>
    <col min="13038" max="13038" width="8" style="7" customWidth="1"/>
    <col min="13039" max="13039" width="10.875" style="7" customWidth="1"/>
    <col min="13040" max="13040" width="12.25" style="7" customWidth="1"/>
    <col min="13041" max="13041" width="8" style="7" customWidth="1"/>
    <col min="13042" max="13042" width="11.875" style="7" customWidth="1"/>
    <col min="13043" max="13043" width="8" style="7" customWidth="1"/>
    <col min="13044" max="13044" width="11" style="7" customWidth="1"/>
    <col min="13045" max="13045" width="12.25" style="7" customWidth="1"/>
    <col min="13046" max="13046" width="8" style="7" customWidth="1"/>
    <col min="13047" max="13047" width="11.875" style="7" customWidth="1"/>
    <col min="13048" max="13048" width="8" style="7" customWidth="1"/>
    <col min="13049" max="13049" width="12.25" style="7" customWidth="1"/>
    <col min="13050" max="13050" width="14.25" style="7" customWidth="1"/>
    <col min="13051" max="13051" width="8" style="7" customWidth="1"/>
    <col min="13052" max="13052" width="14" style="7" customWidth="1"/>
    <col min="13053" max="13053" width="8.875" style="7" customWidth="1"/>
    <col min="13054" max="13054" width="15.25" style="7" customWidth="1"/>
    <col min="13055" max="13055" width="16.375" style="7" customWidth="1"/>
    <col min="13056" max="13056" width="8.875" style="7" customWidth="1"/>
    <col min="13057" max="13057" width="9.625" style="7" customWidth="1"/>
    <col min="13058" max="13058" width="8.75" style="7" customWidth="1"/>
    <col min="13059" max="13059" width="12.375" style="7" customWidth="1"/>
    <col min="13060" max="13060" width="8.75" style="7" customWidth="1"/>
    <col min="13061" max="13061" width="11.5" style="7" customWidth="1"/>
    <col min="13062" max="13062" width="6.625" style="7" customWidth="1"/>
    <col min="13063" max="13063" width="11.25" style="7" customWidth="1"/>
    <col min="13064" max="13281" width="9" style="7" customWidth="1"/>
    <col min="13282" max="13282" width="9.625" style="7" customWidth="1"/>
    <col min="13283" max="13283" width="7.625" style="7" customWidth="1"/>
    <col min="13284" max="13284" width="18.5" style="7" customWidth="1"/>
    <col min="13285" max="13285" width="6.625" style="7" customWidth="1"/>
    <col min="13286" max="13286" width="12.25" style="7" customWidth="1"/>
    <col min="13287" max="13287" width="8" style="7" customWidth="1"/>
    <col min="13288" max="13288" width="10.625" style="7" customWidth="1"/>
    <col min="13289" max="13289" width="8" style="7" customWidth="1"/>
    <col min="13290" max="13290" width="11.375" style="7" customWidth="1"/>
    <col min="13291" max="13291" width="11.5" style="7" customWidth="1"/>
    <col min="13292" max="13292" width="8" style="7" customWidth="1"/>
    <col min="13293" max="13293" width="11.25" style="7" customWidth="1"/>
    <col min="13294" max="13294" width="8" style="7" customWidth="1"/>
    <col min="13295" max="13295" width="10.875" style="7" customWidth="1"/>
    <col min="13296" max="13296" width="12.25" style="7" customWidth="1"/>
    <col min="13297" max="13297" width="8" style="7" customWidth="1"/>
    <col min="13298" max="13298" width="11.875" style="7" customWidth="1"/>
    <col min="13299" max="13299" width="8" style="7" customWidth="1"/>
    <col min="13300" max="13300" width="11" style="7" customWidth="1"/>
    <col min="13301" max="13301" width="12.25" style="7" customWidth="1"/>
    <col min="13302" max="13302" width="8" style="7" customWidth="1"/>
    <col min="13303" max="13303" width="11.875" style="7" customWidth="1"/>
    <col min="13304" max="13304" width="8" style="7" customWidth="1"/>
    <col min="13305" max="13305" width="12.25" style="7" customWidth="1"/>
    <col min="13306" max="13306" width="14.25" style="7" customWidth="1"/>
    <col min="13307" max="13307" width="8" style="7" customWidth="1"/>
    <col min="13308" max="13308" width="14" style="7" customWidth="1"/>
    <col min="13309" max="13309" width="8.875" style="7" customWidth="1"/>
    <col min="13310" max="13310" width="15.25" style="7" customWidth="1"/>
    <col min="13311" max="13311" width="16.375" style="7" customWidth="1"/>
    <col min="13312" max="13312" width="8.875" style="7" customWidth="1"/>
    <col min="13313" max="13313" width="9.625" style="7" customWidth="1"/>
    <col min="13314" max="13314" width="8.75" style="7" customWidth="1"/>
    <col min="13315" max="13315" width="12.375" style="7" customWidth="1"/>
    <col min="13316" max="13316" width="8.75" style="7" customWidth="1"/>
    <col min="13317" max="13317" width="11.5" style="7" customWidth="1"/>
    <col min="13318" max="13318" width="6.625" style="7" customWidth="1"/>
    <col min="13319" max="13319" width="11.25" style="7" customWidth="1"/>
    <col min="13320" max="13537" width="9" style="7" customWidth="1"/>
    <col min="13538" max="13538" width="9.625" style="7" customWidth="1"/>
    <col min="13539" max="13539" width="7.625" style="7" customWidth="1"/>
    <col min="13540" max="13540" width="18.5" style="7" customWidth="1"/>
    <col min="13541" max="13541" width="6.625" style="7" customWidth="1"/>
    <col min="13542" max="13542" width="12.25" style="7" customWidth="1"/>
    <col min="13543" max="13543" width="8" style="7" customWidth="1"/>
    <col min="13544" max="13544" width="10.625" style="7" customWidth="1"/>
    <col min="13545" max="13545" width="8" style="7" customWidth="1"/>
    <col min="13546" max="13546" width="11.375" style="7" customWidth="1"/>
    <col min="13547" max="13547" width="11.5" style="7" customWidth="1"/>
    <col min="13548" max="13548" width="8" style="7" customWidth="1"/>
    <col min="13549" max="13549" width="11.25" style="7" customWidth="1"/>
    <col min="13550" max="13550" width="8" style="7" customWidth="1"/>
    <col min="13551" max="13551" width="10.875" style="7" customWidth="1"/>
    <col min="13552" max="13552" width="12.25" style="7" customWidth="1"/>
    <col min="13553" max="13553" width="8" style="7" customWidth="1"/>
    <col min="13554" max="13554" width="11.875" style="7" customWidth="1"/>
    <col min="13555" max="13555" width="8" style="7" customWidth="1"/>
    <col min="13556" max="13556" width="11" style="7" customWidth="1"/>
    <col min="13557" max="13557" width="12.25" style="7" customWidth="1"/>
    <col min="13558" max="13558" width="8" style="7" customWidth="1"/>
    <col min="13559" max="13559" width="11.875" style="7" customWidth="1"/>
    <col min="13560" max="13560" width="8" style="7" customWidth="1"/>
    <col min="13561" max="13561" width="12.25" style="7" customWidth="1"/>
    <col min="13562" max="13562" width="14.25" style="7" customWidth="1"/>
    <col min="13563" max="13563" width="8" style="7" customWidth="1"/>
    <col min="13564" max="13564" width="14" style="7" customWidth="1"/>
    <col min="13565" max="13565" width="8.875" style="7" customWidth="1"/>
    <col min="13566" max="13566" width="15.25" style="7" customWidth="1"/>
    <col min="13567" max="13567" width="16.375" style="7" customWidth="1"/>
    <col min="13568" max="13568" width="8.875" style="7" customWidth="1"/>
    <col min="13569" max="13569" width="9.625" style="7" customWidth="1"/>
    <col min="13570" max="13570" width="8.75" style="7" customWidth="1"/>
    <col min="13571" max="13571" width="12.375" style="7" customWidth="1"/>
    <col min="13572" max="13572" width="8.75" style="7" customWidth="1"/>
    <col min="13573" max="13573" width="11.5" style="7" customWidth="1"/>
    <col min="13574" max="13574" width="6.625" style="7" customWidth="1"/>
    <col min="13575" max="13575" width="11.25" style="7" customWidth="1"/>
    <col min="13576" max="13793" width="9" style="7" customWidth="1"/>
    <col min="13794" max="13794" width="9.625" style="7" customWidth="1"/>
    <col min="13795" max="13795" width="7.625" style="7" customWidth="1"/>
    <col min="13796" max="13796" width="18.5" style="7" customWidth="1"/>
    <col min="13797" max="13797" width="6.625" style="7" customWidth="1"/>
    <col min="13798" max="13798" width="12.25" style="7" customWidth="1"/>
    <col min="13799" max="13799" width="8" style="7" customWidth="1"/>
    <col min="13800" max="13800" width="10.625" style="7" customWidth="1"/>
    <col min="13801" max="13801" width="8" style="7" customWidth="1"/>
    <col min="13802" max="13802" width="11.375" style="7" customWidth="1"/>
    <col min="13803" max="13803" width="11.5" style="7" customWidth="1"/>
    <col min="13804" max="13804" width="8" style="7" customWidth="1"/>
    <col min="13805" max="13805" width="11.25" style="7" customWidth="1"/>
    <col min="13806" max="13806" width="8" style="7" customWidth="1"/>
    <col min="13807" max="13807" width="10.875" style="7" customWidth="1"/>
    <col min="13808" max="13808" width="12.25" style="7" customWidth="1"/>
    <col min="13809" max="13809" width="8" style="7" customWidth="1"/>
    <col min="13810" max="13810" width="11.875" style="7" customWidth="1"/>
    <col min="13811" max="13811" width="8" style="7" customWidth="1"/>
    <col min="13812" max="13812" width="11" style="7" customWidth="1"/>
    <col min="13813" max="13813" width="12.25" style="7" customWidth="1"/>
    <col min="13814" max="13814" width="8" style="7" customWidth="1"/>
    <col min="13815" max="13815" width="11.875" style="7" customWidth="1"/>
    <col min="13816" max="13816" width="8" style="7" customWidth="1"/>
    <col min="13817" max="13817" width="12.25" style="7" customWidth="1"/>
    <col min="13818" max="13818" width="14.25" style="7" customWidth="1"/>
    <col min="13819" max="13819" width="8" style="7" customWidth="1"/>
    <col min="13820" max="13820" width="14" style="7" customWidth="1"/>
    <col min="13821" max="13821" width="8.875" style="7" customWidth="1"/>
    <col min="13822" max="13822" width="15.25" style="7" customWidth="1"/>
    <col min="13823" max="13823" width="16.375" style="7" customWidth="1"/>
    <col min="13824" max="13824" width="8.875" style="7" customWidth="1"/>
    <col min="13825" max="13825" width="9.625" style="7" customWidth="1"/>
    <col min="13826" max="13826" width="8.75" style="7" customWidth="1"/>
    <col min="13827" max="13827" width="12.375" style="7" customWidth="1"/>
    <col min="13828" max="13828" width="8.75" style="7" customWidth="1"/>
    <col min="13829" max="13829" width="11.5" style="7" customWidth="1"/>
    <col min="13830" max="13830" width="6.625" style="7" customWidth="1"/>
    <col min="13831" max="13831" width="11.25" style="7" customWidth="1"/>
    <col min="13832" max="14049" width="9" style="7" customWidth="1"/>
    <col min="14050" max="14050" width="9.625" style="7" customWidth="1"/>
    <col min="14051" max="14051" width="7.625" style="7" customWidth="1"/>
    <col min="14052" max="14052" width="18.5" style="7" customWidth="1"/>
    <col min="14053" max="14053" width="6.625" style="7" customWidth="1"/>
    <col min="14054" max="14054" width="12.25" style="7" customWidth="1"/>
    <col min="14055" max="14055" width="8" style="7" customWidth="1"/>
    <col min="14056" max="14056" width="10.625" style="7" customWidth="1"/>
    <col min="14057" max="14057" width="8" style="7" customWidth="1"/>
    <col min="14058" max="14058" width="11.375" style="7" customWidth="1"/>
    <col min="14059" max="14059" width="11.5" style="7" customWidth="1"/>
    <col min="14060" max="14060" width="8" style="7" customWidth="1"/>
    <col min="14061" max="14061" width="11.25" style="7" customWidth="1"/>
    <col min="14062" max="14062" width="8" style="7" customWidth="1"/>
    <col min="14063" max="14063" width="10.875" style="7" customWidth="1"/>
    <col min="14064" max="14064" width="12.25" style="7" customWidth="1"/>
    <col min="14065" max="14065" width="8" style="7" customWidth="1"/>
    <col min="14066" max="14066" width="11.875" style="7" customWidth="1"/>
    <col min="14067" max="14067" width="8" style="7" customWidth="1"/>
    <col min="14068" max="14068" width="11" style="7" customWidth="1"/>
    <col min="14069" max="14069" width="12.25" style="7" customWidth="1"/>
    <col min="14070" max="14070" width="8" style="7" customWidth="1"/>
    <col min="14071" max="14071" width="11.875" style="7" customWidth="1"/>
    <col min="14072" max="14072" width="8" style="7" customWidth="1"/>
    <col min="14073" max="14073" width="12.25" style="7" customWidth="1"/>
    <col min="14074" max="14074" width="14.25" style="7" customWidth="1"/>
    <col min="14075" max="14075" width="8" style="7" customWidth="1"/>
    <col min="14076" max="14076" width="14" style="7" customWidth="1"/>
    <col min="14077" max="14077" width="8.875" style="7" customWidth="1"/>
    <col min="14078" max="14078" width="15.25" style="7" customWidth="1"/>
    <col min="14079" max="14079" width="16.375" style="7" customWidth="1"/>
    <col min="14080" max="14080" width="8.875" style="7" customWidth="1"/>
    <col min="14081" max="14081" width="9.625" style="7" customWidth="1"/>
    <col min="14082" max="14082" width="8.75" style="7" customWidth="1"/>
    <col min="14083" max="14083" width="12.375" style="7" customWidth="1"/>
    <col min="14084" max="14084" width="8.75" style="7" customWidth="1"/>
    <col min="14085" max="14085" width="11.5" style="7" customWidth="1"/>
    <col min="14086" max="14086" width="6.625" style="7" customWidth="1"/>
    <col min="14087" max="14087" width="11.25" style="7" customWidth="1"/>
    <col min="14088" max="14305" width="9" style="7" customWidth="1"/>
    <col min="14306" max="14306" width="9.625" style="7" customWidth="1"/>
    <col min="14307" max="14307" width="7.625" style="7" customWidth="1"/>
    <col min="14308" max="14308" width="18.5" style="7" customWidth="1"/>
    <col min="14309" max="14309" width="6.625" style="7" customWidth="1"/>
    <col min="14310" max="14310" width="12.25" style="7" customWidth="1"/>
    <col min="14311" max="14311" width="8" style="7" customWidth="1"/>
    <col min="14312" max="14312" width="10.625" style="7" customWidth="1"/>
    <col min="14313" max="14313" width="8" style="7" customWidth="1"/>
    <col min="14314" max="14314" width="11.375" style="7" customWidth="1"/>
    <col min="14315" max="14315" width="11.5" style="7" customWidth="1"/>
    <col min="14316" max="14316" width="8" style="7" customWidth="1"/>
    <col min="14317" max="14317" width="11.25" style="7" customWidth="1"/>
    <col min="14318" max="14318" width="8" style="7" customWidth="1"/>
    <col min="14319" max="14319" width="10.875" style="7" customWidth="1"/>
    <col min="14320" max="14320" width="12.25" style="7" customWidth="1"/>
    <col min="14321" max="14321" width="8" style="7" customWidth="1"/>
    <col min="14322" max="14322" width="11.875" style="7" customWidth="1"/>
    <col min="14323" max="14323" width="8" style="7" customWidth="1"/>
    <col min="14324" max="14324" width="11" style="7" customWidth="1"/>
    <col min="14325" max="14325" width="12.25" style="7" customWidth="1"/>
    <col min="14326" max="14326" width="8" style="7" customWidth="1"/>
    <col min="14327" max="14327" width="11.875" style="7" customWidth="1"/>
    <col min="14328" max="14328" width="8" style="7" customWidth="1"/>
    <col min="14329" max="14329" width="12.25" style="7" customWidth="1"/>
    <col min="14330" max="14330" width="14.25" style="7" customWidth="1"/>
    <col min="14331" max="14331" width="8" style="7" customWidth="1"/>
    <col min="14332" max="14332" width="14" style="7" customWidth="1"/>
    <col min="14333" max="14333" width="8.875" style="7" customWidth="1"/>
    <col min="14334" max="14334" width="15.25" style="7" customWidth="1"/>
    <col min="14335" max="14335" width="16.375" style="7" customWidth="1"/>
    <col min="14336" max="14336" width="8.875" style="7" customWidth="1"/>
    <col min="14337" max="14337" width="9.625" style="7" customWidth="1"/>
    <col min="14338" max="14338" width="8.75" style="7" customWidth="1"/>
    <col min="14339" max="14339" width="12.375" style="7" customWidth="1"/>
    <col min="14340" max="14340" width="8.75" style="7" customWidth="1"/>
    <col min="14341" max="14341" width="11.5" style="7" customWidth="1"/>
    <col min="14342" max="14342" width="6.625" style="7" customWidth="1"/>
    <col min="14343" max="14343" width="11.25" style="7" customWidth="1"/>
    <col min="14344" max="14561" width="9" style="7" customWidth="1"/>
    <col min="14562" max="14562" width="9.625" style="7" customWidth="1"/>
    <col min="14563" max="14563" width="7.625" style="7" customWidth="1"/>
    <col min="14564" max="14564" width="18.5" style="7" customWidth="1"/>
    <col min="14565" max="14565" width="6.625" style="7" customWidth="1"/>
    <col min="14566" max="14566" width="12.25" style="7" customWidth="1"/>
    <col min="14567" max="14567" width="8" style="7" customWidth="1"/>
    <col min="14568" max="14568" width="10.625" style="7" customWidth="1"/>
    <col min="14569" max="14569" width="8" style="7" customWidth="1"/>
    <col min="14570" max="14570" width="11.375" style="7" customWidth="1"/>
    <col min="14571" max="14571" width="11.5" style="7" customWidth="1"/>
    <col min="14572" max="14572" width="8" style="7" customWidth="1"/>
    <col min="14573" max="14573" width="11.25" style="7" customWidth="1"/>
    <col min="14574" max="14574" width="8" style="7" customWidth="1"/>
    <col min="14575" max="14575" width="10.875" style="7" customWidth="1"/>
    <col min="14576" max="14576" width="12.25" style="7" customWidth="1"/>
    <col min="14577" max="14577" width="8" style="7" customWidth="1"/>
    <col min="14578" max="14578" width="11.875" style="7" customWidth="1"/>
    <col min="14579" max="14579" width="8" style="7" customWidth="1"/>
    <col min="14580" max="14580" width="11" style="7" customWidth="1"/>
    <col min="14581" max="14581" width="12.25" style="7" customWidth="1"/>
    <col min="14582" max="14582" width="8" style="7" customWidth="1"/>
    <col min="14583" max="14583" width="11.875" style="7" customWidth="1"/>
    <col min="14584" max="14584" width="8" style="7" customWidth="1"/>
    <col min="14585" max="14585" width="12.25" style="7" customWidth="1"/>
    <col min="14586" max="14586" width="14.25" style="7" customWidth="1"/>
    <col min="14587" max="14587" width="8" style="7" customWidth="1"/>
    <col min="14588" max="14588" width="14" style="7" customWidth="1"/>
    <col min="14589" max="14589" width="8.875" style="7" customWidth="1"/>
    <col min="14590" max="14590" width="15.25" style="7" customWidth="1"/>
    <col min="14591" max="14591" width="16.375" style="7" customWidth="1"/>
    <col min="14592" max="14592" width="8.875" style="7" customWidth="1"/>
    <col min="14593" max="14593" width="9.625" style="7" customWidth="1"/>
    <col min="14594" max="14594" width="8.75" style="7" customWidth="1"/>
    <col min="14595" max="14595" width="12.375" style="7" customWidth="1"/>
    <col min="14596" max="14596" width="8.75" style="7" customWidth="1"/>
    <col min="14597" max="14597" width="11.5" style="7" customWidth="1"/>
    <col min="14598" max="14598" width="6.625" style="7" customWidth="1"/>
    <col min="14599" max="14599" width="11.25" style="7" customWidth="1"/>
    <col min="14600" max="14817" width="9" style="7" customWidth="1"/>
    <col min="14818" max="14818" width="9.625" style="7" customWidth="1"/>
    <col min="14819" max="14819" width="7.625" style="7" customWidth="1"/>
    <col min="14820" max="14820" width="18.5" style="7" customWidth="1"/>
    <col min="14821" max="14821" width="6.625" style="7" customWidth="1"/>
    <col min="14822" max="14822" width="12.25" style="7" customWidth="1"/>
    <col min="14823" max="14823" width="8" style="7" customWidth="1"/>
    <col min="14824" max="14824" width="10.625" style="7" customWidth="1"/>
    <col min="14825" max="14825" width="8" style="7" customWidth="1"/>
    <col min="14826" max="14826" width="11.375" style="7" customWidth="1"/>
    <col min="14827" max="14827" width="11.5" style="7" customWidth="1"/>
    <col min="14828" max="14828" width="8" style="7" customWidth="1"/>
    <col min="14829" max="14829" width="11.25" style="7" customWidth="1"/>
    <col min="14830" max="14830" width="8" style="7" customWidth="1"/>
    <col min="14831" max="14831" width="10.875" style="7" customWidth="1"/>
    <col min="14832" max="14832" width="12.25" style="7" customWidth="1"/>
    <col min="14833" max="14833" width="8" style="7" customWidth="1"/>
    <col min="14834" max="14834" width="11.875" style="7" customWidth="1"/>
    <col min="14835" max="14835" width="8" style="7" customWidth="1"/>
    <col min="14836" max="14836" width="11" style="7" customWidth="1"/>
    <col min="14837" max="14837" width="12.25" style="7" customWidth="1"/>
    <col min="14838" max="14838" width="8" style="7" customWidth="1"/>
    <col min="14839" max="14839" width="11.875" style="7" customWidth="1"/>
    <col min="14840" max="14840" width="8" style="7" customWidth="1"/>
    <col min="14841" max="14841" width="12.25" style="7" customWidth="1"/>
    <col min="14842" max="14842" width="14.25" style="7" customWidth="1"/>
    <col min="14843" max="14843" width="8" style="7" customWidth="1"/>
    <col min="14844" max="14844" width="14" style="7" customWidth="1"/>
    <col min="14845" max="14845" width="8.875" style="7" customWidth="1"/>
    <col min="14846" max="14846" width="15.25" style="7" customWidth="1"/>
    <col min="14847" max="14847" width="16.375" style="7" customWidth="1"/>
    <col min="14848" max="14848" width="8.875" style="7" customWidth="1"/>
    <col min="14849" max="14849" width="9.625" style="7" customWidth="1"/>
    <col min="14850" max="14850" width="8.75" style="7" customWidth="1"/>
    <col min="14851" max="14851" width="12.375" style="7" customWidth="1"/>
    <col min="14852" max="14852" width="8.75" style="7" customWidth="1"/>
    <col min="14853" max="14853" width="11.5" style="7" customWidth="1"/>
    <col min="14854" max="14854" width="6.625" style="7" customWidth="1"/>
    <col min="14855" max="14855" width="11.25" style="7" customWidth="1"/>
    <col min="14856" max="15073" width="9" style="7" customWidth="1"/>
    <col min="15074" max="15074" width="9.625" style="7" customWidth="1"/>
    <col min="15075" max="15075" width="7.625" style="7" customWidth="1"/>
    <col min="15076" max="15076" width="18.5" style="7" customWidth="1"/>
    <col min="15077" max="15077" width="6.625" style="7" customWidth="1"/>
    <col min="15078" max="15078" width="12.25" style="7" customWidth="1"/>
    <col min="15079" max="15079" width="8" style="7" customWidth="1"/>
    <col min="15080" max="15080" width="10.625" style="7" customWidth="1"/>
    <col min="15081" max="15081" width="8" style="7" customWidth="1"/>
    <col min="15082" max="15082" width="11.375" style="7" customWidth="1"/>
    <col min="15083" max="15083" width="11.5" style="7" customWidth="1"/>
    <col min="15084" max="15084" width="8" style="7" customWidth="1"/>
    <col min="15085" max="15085" width="11.25" style="7" customWidth="1"/>
    <col min="15086" max="15086" width="8" style="7" customWidth="1"/>
    <col min="15087" max="15087" width="10.875" style="7" customWidth="1"/>
    <col min="15088" max="15088" width="12.25" style="7" customWidth="1"/>
    <col min="15089" max="15089" width="8" style="7" customWidth="1"/>
    <col min="15090" max="15090" width="11.875" style="7" customWidth="1"/>
    <col min="15091" max="15091" width="8" style="7" customWidth="1"/>
    <col min="15092" max="15092" width="11" style="7" customWidth="1"/>
    <col min="15093" max="15093" width="12.25" style="7" customWidth="1"/>
    <col min="15094" max="15094" width="8" style="7" customWidth="1"/>
    <col min="15095" max="15095" width="11.875" style="7" customWidth="1"/>
    <col min="15096" max="15096" width="8" style="7" customWidth="1"/>
    <col min="15097" max="15097" width="12.25" style="7" customWidth="1"/>
    <col min="15098" max="15098" width="14.25" style="7" customWidth="1"/>
    <col min="15099" max="15099" width="8" style="7" customWidth="1"/>
    <col min="15100" max="15100" width="14" style="7" customWidth="1"/>
    <col min="15101" max="15101" width="8.875" style="7" customWidth="1"/>
    <col min="15102" max="15102" width="15.25" style="7" customWidth="1"/>
    <col min="15103" max="15103" width="16.375" style="7" customWidth="1"/>
    <col min="15104" max="15104" width="8.875" style="7" customWidth="1"/>
    <col min="15105" max="15105" width="9.625" style="7" customWidth="1"/>
    <col min="15106" max="15106" width="8.75" style="7" customWidth="1"/>
    <col min="15107" max="15107" width="12.375" style="7" customWidth="1"/>
    <col min="15108" max="15108" width="8.75" style="7" customWidth="1"/>
    <col min="15109" max="15109" width="11.5" style="7" customWidth="1"/>
    <col min="15110" max="15110" width="6.625" style="7" customWidth="1"/>
    <col min="15111" max="15111" width="11.25" style="7" customWidth="1"/>
    <col min="15112" max="15329" width="9" style="7" customWidth="1"/>
    <col min="15330" max="15330" width="9.625" style="7" customWidth="1"/>
    <col min="15331" max="15331" width="7.625" style="7" customWidth="1"/>
    <col min="15332" max="15332" width="18.5" style="7" customWidth="1"/>
    <col min="15333" max="15333" width="6.625" style="7" customWidth="1"/>
    <col min="15334" max="15334" width="12.25" style="7" customWidth="1"/>
    <col min="15335" max="15335" width="8" style="7" customWidth="1"/>
    <col min="15336" max="15336" width="10.625" style="7" customWidth="1"/>
    <col min="15337" max="15337" width="8" style="7" customWidth="1"/>
    <col min="15338" max="15338" width="11.375" style="7" customWidth="1"/>
    <col min="15339" max="15339" width="11.5" style="7" customWidth="1"/>
    <col min="15340" max="15340" width="8" style="7" customWidth="1"/>
    <col min="15341" max="15341" width="11.25" style="7" customWidth="1"/>
    <col min="15342" max="15342" width="8" style="7" customWidth="1"/>
    <col min="15343" max="15343" width="10.875" style="7" customWidth="1"/>
    <col min="15344" max="15344" width="12.25" style="7" customWidth="1"/>
    <col min="15345" max="15345" width="8" style="7" customWidth="1"/>
    <col min="15346" max="15346" width="11.875" style="7" customWidth="1"/>
    <col min="15347" max="15347" width="8" style="7" customWidth="1"/>
    <col min="15348" max="15348" width="11" style="7" customWidth="1"/>
    <col min="15349" max="15349" width="12.25" style="7" customWidth="1"/>
    <col min="15350" max="15350" width="8" style="7" customWidth="1"/>
    <col min="15351" max="15351" width="11.875" style="7" customWidth="1"/>
    <col min="15352" max="15352" width="8" style="7" customWidth="1"/>
    <col min="15353" max="15353" width="12.25" style="7" customWidth="1"/>
    <col min="15354" max="15354" width="14.25" style="7" customWidth="1"/>
    <col min="15355" max="15355" width="8" style="7" customWidth="1"/>
    <col min="15356" max="15356" width="14" style="7" customWidth="1"/>
    <col min="15357" max="15357" width="8.875" style="7" customWidth="1"/>
    <col min="15358" max="15358" width="15.25" style="7" customWidth="1"/>
    <col min="15359" max="15359" width="16.375" style="7" customWidth="1"/>
    <col min="15360" max="15360" width="8.875" style="7" customWidth="1"/>
    <col min="15361" max="15361" width="9.625" style="7" customWidth="1"/>
    <col min="15362" max="15362" width="8.75" style="7" customWidth="1"/>
    <col min="15363" max="15363" width="12.375" style="7" customWidth="1"/>
    <col min="15364" max="15364" width="8.75" style="7" customWidth="1"/>
    <col min="15365" max="15365" width="11.5" style="7" customWidth="1"/>
    <col min="15366" max="15366" width="6.625" style="7" customWidth="1"/>
    <col min="15367" max="15367" width="11.25" style="7" customWidth="1"/>
    <col min="15368" max="15585" width="9" style="7" customWidth="1"/>
    <col min="15586" max="15586" width="9.625" style="7" customWidth="1"/>
    <col min="15587" max="15587" width="7.625" style="7" customWidth="1"/>
    <col min="15588" max="15588" width="18.5" style="7" customWidth="1"/>
    <col min="15589" max="15589" width="6.625" style="7" customWidth="1"/>
    <col min="15590" max="15590" width="12.25" style="7" customWidth="1"/>
    <col min="15591" max="15591" width="8" style="7" customWidth="1"/>
    <col min="15592" max="15592" width="10.625" style="7" customWidth="1"/>
    <col min="15593" max="15593" width="8" style="7" customWidth="1"/>
    <col min="15594" max="15594" width="11.375" style="7" customWidth="1"/>
    <col min="15595" max="15595" width="11.5" style="7" customWidth="1"/>
    <col min="15596" max="15596" width="8" style="7" customWidth="1"/>
    <col min="15597" max="15597" width="11.25" style="7" customWidth="1"/>
    <col min="15598" max="15598" width="8" style="7" customWidth="1"/>
    <col min="15599" max="15599" width="10.875" style="7" customWidth="1"/>
    <col min="15600" max="15600" width="12.25" style="7" customWidth="1"/>
    <col min="15601" max="15601" width="8" style="7" customWidth="1"/>
    <col min="15602" max="15602" width="11.875" style="7" customWidth="1"/>
    <col min="15603" max="15603" width="8" style="7" customWidth="1"/>
    <col min="15604" max="15604" width="11" style="7" customWidth="1"/>
    <col min="15605" max="15605" width="12.25" style="7" customWidth="1"/>
    <col min="15606" max="15606" width="8" style="7" customWidth="1"/>
    <col min="15607" max="15607" width="11.875" style="7" customWidth="1"/>
    <col min="15608" max="15608" width="8" style="7" customWidth="1"/>
    <col min="15609" max="15609" width="12.25" style="7" customWidth="1"/>
    <col min="15610" max="15610" width="14.25" style="7" customWidth="1"/>
    <col min="15611" max="15611" width="8" style="7" customWidth="1"/>
    <col min="15612" max="15612" width="14" style="7" customWidth="1"/>
    <col min="15613" max="15613" width="8.875" style="7" customWidth="1"/>
    <col min="15614" max="15614" width="15.25" style="7" customWidth="1"/>
    <col min="15615" max="15615" width="16.375" style="7" customWidth="1"/>
    <col min="15616" max="15616" width="8.875" style="7" customWidth="1"/>
    <col min="15617" max="15617" width="9.625" style="7" customWidth="1"/>
    <col min="15618" max="15618" width="8.75" style="7" customWidth="1"/>
    <col min="15619" max="15619" width="12.375" style="7" customWidth="1"/>
    <col min="15620" max="15620" width="8.75" style="7" customWidth="1"/>
    <col min="15621" max="15621" width="11.5" style="7" customWidth="1"/>
    <col min="15622" max="15622" width="6.625" style="7" customWidth="1"/>
    <col min="15623" max="15623" width="11.25" style="7" customWidth="1"/>
    <col min="15624" max="15841" width="9" style="7" customWidth="1"/>
    <col min="15842" max="15842" width="9.625" style="7" customWidth="1"/>
    <col min="15843" max="15843" width="7.625" style="7" customWidth="1"/>
    <col min="15844" max="15844" width="18.5" style="7" customWidth="1"/>
    <col min="15845" max="15845" width="6.625" style="7" customWidth="1"/>
    <col min="15846" max="15846" width="12.25" style="7" customWidth="1"/>
    <col min="15847" max="15847" width="8" style="7" customWidth="1"/>
    <col min="15848" max="15848" width="10.625" style="7" customWidth="1"/>
    <col min="15849" max="15849" width="8" style="7" customWidth="1"/>
    <col min="15850" max="15850" width="11.375" style="7" customWidth="1"/>
    <col min="15851" max="15851" width="11.5" style="7" customWidth="1"/>
    <col min="15852" max="15852" width="8" style="7" customWidth="1"/>
    <col min="15853" max="15853" width="11.25" style="7" customWidth="1"/>
    <col min="15854" max="15854" width="8" style="7" customWidth="1"/>
    <col min="15855" max="15855" width="10.875" style="7" customWidth="1"/>
    <col min="15856" max="15856" width="12.25" style="7" customWidth="1"/>
    <col min="15857" max="15857" width="8" style="7" customWidth="1"/>
    <col min="15858" max="15858" width="11.875" style="7" customWidth="1"/>
    <col min="15859" max="15859" width="8" style="7" customWidth="1"/>
    <col min="15860" max="15860" width="11" style="7" customWidth="1"/>
    <col min="15861" max="15861" width="12.25" style="7" customWidth="1"/>
    <col min="15862" max="15862" width="8" style="7" customWidth="1"/>
    <col min="15863" max="15863" width="11.875" style="7" customWidth="1"/>
    <col min="15864" max="15864" width="8" style="7" customWidth="1"/>
    <col min="15865" max="15865" width="12.25" style="7" customWidth="1"/>
    <col min="15866" max="15866" width="14.25" style="7" customWidth="1"/>
    <col min="15867" max="15867" width="8" style="7" customWidth="1"/>
    <col min="15868" max="15868" width="14" style="7" customWidth="1"/>
    <col min="15869" max="15869" width="8.875" style="7" customWidth="1"/>
    <col min="15870" max="15870" width="15.25" style="7" customWidth="1"/>
    <col min="15871" max="15871" width="16.375" style="7" customWidth="1"/>
    <col min="15872" max="15872" width="8.875" style="7" customWidth="1"/>
    <col min="15873" max="15873" width="9.625" style="7" customWidth="1"/>
    <col min="15874" max="15874" width="8.75" style="7" customWidth="1"/>
    <col min="15875" max="15875" width="12.375" style="7" customWidth="1"/>
    <col min="15876" max="15876" width="8.75" style="7" customWidth="1"/>
    <col min="15877" max="15877" width="11.5" style="7" customWidth="1"/>
    <col min="15878" max="15878" width="6.625" style="7" customWidth="1"/>
    <col min="15879" max="15879" width="11.25" style="7" customWidth="1"/>
    <col min="15880" max="16097" width="9" style="7" customWidth="1"/>
    <col min="16098" max="16098" width="9.625" style="7" customWidth="1"/>
    <col min="16099" max="16099" width="7.625" style="7" customWidth="1"/>
    <col min="16100" max="16100" width="18.5" style="7" customWidth="1"/>
    <col min="16101" max="16101" width="6.625" style="7" customWidth="1"/>
    <col min="16102" max="16102" width="12.25" style="7" customWidth="1"/>
    <col min="16103" max="16103" width="8" style="7" customWidth="1"/>
    <col min="16104" max="16104" width="10.625" style="7" customWidth="1"/>
    <col min="16105" max="16105" width="8" style="7" customWidth="1"/>
    <col min="16106" max="16106" width="11.375" style="7" customWidth="1"/>
    <col min="16107" max="16107" width="11.5" style="7" customWidth="1"/>
    <col min="16108" max="16108" width="8" style="7" customWidth="1"/>
    <col min="16109" max="16109" width="11.25" style="7" customWidth="1"/>
    <col min="16110" max="16110" width="8" style="7" customWidth="1"/>
    <col min="16111" max="16111" width="10.875" style="7" customWidth="1"/>
    <col min="16112" max="16112" width="12.25" style="7" customWidth="1"/>
    <col min="16113" max="16113" width="8" style="7" customWidth="1"/>
    <col min="16114" max="16114" width="11.875" style="7" customWidth="1"/>
    <col min="16115" max="16115" width="8" style="7" customWidth="1"/>
    <col min="16116" max="16116" width="11" style="7" customWidth="1"/>
    <col min="16117" max="16117" width="12.25" style="7" customWidth="1"/>
    <col min="16118" max="16118" width="8" style="7" customWidth="1"/>
    <col min="16119" max="16119" width="11.875" style="7" customWidth="1"/>
    <col min="16120" max="16120" width="8" style="7" customWidth="1"/>
    <col min="16121" max="16121" width="12.25" style="7" customWidth="1"/>
    <col min="16122" max="16122" width="14.25" style="7" customWidth="1"/>
    <col min="16123" max="16123" width="8" style="7" customWidth="1"/>
    <col min="16124" max="16124" width="14" style="7" customWidth="1"/>
    <col min="16125" max="16125" width="8.875" style="7" customWidth="1"/>
    <col min="16126" max="16126" width="15.25" style="7" customWidth="1"/>
    <col min="16127" max="16127" width="16.375" style="7" customWidth="1"/>
    <col min="16128" max="16128" width="8.875" style="7" customWidth="1"/>
    <col min="16129" max="16129" width="9.625" style="7" customWidth="1"/>
    <col min="16130" max="16130" width="8.75" style="7" customWidth="1"/>
    <col min="16131" max="16131" width="12.375" style="7" customWidth="1"/>
    <col min="16132" max="16132" width="8.75" style="7" customWidth="1"/>
    <col min="16133" max="16133" width="11.5" style="7" customWidth="1"/>
    <col min="16134" max="16134" width="6.625" style="7" customWidth="1"/>
    <col min="16135" max="16135" width="11.25" style="7" customWidth="1"/>
    <col min="16136" max="16384" width="9" style="7" customWidth="1"/>
  </cols>
  <sheetData>
    <row r="2" spans="1:14" ht="30" customHeight="1" thickBot="1" x14ac:dyDescent="0.35">
      <c r="A2" s="119" t="s">
        <v>706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 ht="20.100000000000001" customHeight="1" thickBo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7" t="s">
        <v>740</v>
      </c>
      <c r="N3" s="60">
        <f>G20</f>
        <v>4000</v>
      </c>
    </row>
    <row r="4" spans="1:14" ht="20.100000000000001" customHeight="1" thickBot="1" x14ac:dyDescent="0.35">
      <c r="M4" s="57" t="s">
        <v>1</v>
      </c>
      <c r="N4" s="60">
        <f>M20</f>
        <v>455000</v>
      </c>
    </row>
    <row r="5" spans="1:14" ht="20.100000000000001" customHeight="1" thickBot="1" x14ac:dyDescent="0.35">
      <c r="M5" s="9"/>
      <c r="N5" s="9"/>
    </row>
    <row r="6" spans="1:14" s="5" customFormat="1" ht="20.100000000000001" customHeight="1" x14ac:dyDescent="0.3">
      <c r="A6" s="120" t="s">
        <v>2</v>
      </c>
      <c r="B6" s="122" t="s">
        <v>3</v>
      </c>
      <c r="C6" s="124" t="s">
        <v>4</v>
      </c>
      <c r="D6" s="124" t="s">
        <v>5</v>
      </c>
      <c r="E6" s="124" t="s">
        <v>8</v>
      </c>
      <c r="F6" s="129" t="s">
        <v>9</v>
      </c>
      <c r="G6" s="131" t="s">
        <v>10</v>
      </c>
      <c r="H6" s="129" t="s">
        <v>11</v>
      </c>
      <c r="I6" s="129" t="s">
        <v>12</v>
      </c>
      <c r="J6" s="129" t="s">
        <v>13</v>
      </c>
      <c r="K6" s="129" t="s">
        <v>14</v>
      </c>
      <c r="L6" s="129" t="s">
        <v>15</v>
      </c>
      <c r="M6" s="131" t="s">
        <v>16</v>
      </c>
      <c r="N6" s="116" t="s">
        <v>17</v>
      </c>
    </row>
    <row r="7" spans="1:14" s="10" customFormat="1" ht="20.100000000000001" customHeight="1" x14ac:dyDescent="0.3">
      <c r="A7" s="121"/>
      <c r="B7" s="123"/>
      <c r="C7" s="125"/>
      <c r="D7" s="125"/>
      <c r="E7" s="125"/>
      <c r="F7" s="130"/>
      <c r="G7" s="132"/>
      <c r="H7" s="130"/>
      <c r="I7" s="130"/>
      <c r="J7" s="130"/>
      <c r="K7" s="130"/>
      <c r="L7" s="130"/>
      <c r="M7" s="132"/>
      <c r="N7" s="117"/>
    </row>
    <row r="8" spans="1:14" s="10" customFormat="1" ht="20.100000000000001" customHeight="1" x14ac:dyDescent="0.3">
      <c r="A8" s="143" t="s">
        <v>707</v>
      </c>
      <c r="B8" s="26" t="s">
        <v>708</v>
      </c>
      <c r="C8" s="12" t="s">
        <v>709</v>
      </c>
      <c r="D8" s="12">
        <v>6000</v>
      </c>
      <c r="E8" s="12">
        <v>8000</v>
      </c>
      <c r="F8" s="13">
        <v>113</v>
      </c>
      <c r="G8" s="46">
        <v>2000</v>
      </c>
      <c r="H8" s="14"/>
      <c r="I8" s="14"/>
      <c r="J8" s="14"/>
      <c r="K8" s="14"/>
      <c r="L8" s="14"/>
      <c r="M8" s="46">
        <f>F8*G8</f>
        <v>226000</v>
      </c>
      <c r="N8" s="27"/>
    </row>
    <row r="9" spans="1:14" s="10" customFormat="1" ht="20.100000000000001" customHeight="1" x14ac:dyDescent="0.3">
      <c r="A9" s="136"/>
      <c r="B9" s="29" t="s">
        <v>710</v>
      </c>
      <c r="C9" s="16" t="s">
        <v>711</v>
      </c>
      <c r="D9" s="16">
        <v>6000</v>
      </c>
      <c r="E9" s="16">
        <v>4000</v>
      </c>
      <c r="F9" s="17">
        <v>111</v>
      </c>
      <c r="G9" s="47">
        <v>1000</v>
      </c>
      <c r="H9" s="18"/>
      <c r="I9" s="18"/>
      <c r="J9" s="18"/>
      <c r="K9" s="18"/>
      <c r="L9" s="18"/>
      <c r="M9" s="46">
        <f t="shared" ref="M9:M18" si="0">F9*G9</f>
        <v>111000</v>
      </c>
      <c r="N9" s="30"/>
    </row>
    <row r="10" spans="1:14" s="10" customFormat="1" ht="20.100000000000001" customHeight="1" x14ac:dyDescent="0.3">
      <c r="A10" s="136"/>
      <c r="B10" s="29" t="s">
        <v>712</v>
      </c>
      <c r="C10" s="31" t="s">
        <v>713</v>
      </c>
      <c r="D10" s="32">
        <v>4000</v>
      </c>
      <c r="E10" s="32">
        <v>400</v>
      </c>
      <c r="F10" s="33">
        <v>118</v>
      </c>
      <c r="G10" s="50">
        <v>0</v>
      </c>
      <c r="H10" s="34"/>
      <c r="I10" s="34"/>
      <c r="J10" s="34"/>
      <c r="K10" s="34"/>
      <c r="L10" s="34"/>
      <c r="M10" s="46">
        <f t="shared" si="0"/>
        <v>0</v>
      </c>
      <c r="N10" s="30"/>
    </row>
    <row r="11" spans="1:14" s="10" customFormat="1" ht="20.100000000000001" customHeight="1" x14ac:dyDescent="0.3">
      <c r="A11" s="136"/>
      <c r="B11" s="29" t="s">
        <v>714</v>
      </c>
      <c r="C11" s="31" t="s">
        <v>715</v>
      </c>
      <c r="D11" s="32">
        <v>4700</v>
      </c>
      <c r="E11" s="32">
        <v>4000</v>
      </c>
      <c r="F11" s="33">
        <v>118</v>
      </c>
      <c r="G11" s="50">
        <v>1000</v>
      </c>
      <c r="H11" s="34"/>
      <c r="I11" s="34"/>
      <c r="J11" s="34"/>
      <c r="K11" s="34"/>
      <c r="L11" s="34"/>
      <c r="M11" s="46">
        <f t="shared" si="0"/>
        <v>118000</v>
      </c>
      <c r="N11" s="30"/>
    </row>
    <row r="12" spans="1:14" s="10" customFormat="1" ht="20.100000000000001" customHeight="1" x14ac:dyDescent="0.3">
      <c r="A12" s="136"/>
      <c r="B12" s="29" t="s">
        <v>716</v>
      </c>
      <c r="C12" s="16" t="s">
        <v>717</v>
      </c>
      <c r="D12" s="32">
        <v>3000</v>
      </c>
      <c r="E12" s="32">
        <v>400</v>
      </c>
      <c r="F12" s="33">
        <v>118</v>
      </c>
      <c r="G12" s="50">
        <v>0</v>
      </c>
      <c r="H12" s="34"/>
      <c r="I12" s="34"/>
      <c r="J12" s="34"/>
      <c r="K12" s="34"/>
      <c r="L12" s="34"/>
      <c r="M12" s="46">
        <f t="shared" si="0"/>
        <v>0</v>
      </c>
      <c r="N12" s="30"/>
    </row>
    <row r="13" spans="1:14" s="10" customFormat="1" ht="20.100000000000001" customHeight="1" x14ac:dyDescent="0.3">
      <c r="A13" s="136"/>
      <c r="B13" s="29" t="s">
        <v>718</v>
      </c>
      <c r="C13" s="16" t="s">
        <v>719</v>
      </c>
      <c r="D13" s="16">
        <v>2000</v>
      </c>
      <c r="E13" s="16">
        <v>400</v>
      </c>
      <c r="F13" s="17">
        <v>118</v>
      </c>
      <c r="G13" s="47">
        <v>0</v>
      </c>
      <c r="H13" s="18"/>
      <c r="I13" s="18"/>
      <c r="J13" s="18"/>
      <c r="K13" s="18"/>
      <c r="L13" s="18"/>
      <c r="M13" s="46">
        <f t="shared" si="0"/>
        <v>0</v>
      </c>
      <c r="N13" s="30"/>
    </row>
    <row r="14" spans="1:14" s="10" customFormat="1" ht="20.100000000000001" customHeight="1" x14ac:dyDescent="0.3">
      <c r="A14" s="136" t="s">
        <v>720</v>
      </c>
      <c r="B14" s="29" t="s">
        <v>721</v>
      </c>
      <c r="C14" s="16" t="s">
        <v>709</v>
      </c>
      <c r="D14" s="16">
        <v>2800</v>
      </c>
      <c r="E14" s="16">
        <v>1000</v>
      </c>
      <c r="F14" s="17">
        <v>36</v>
      </c>
      <c r="G14" s="47">
        <v>0</v>
      </c>
      <c r="H14" s="18"/>
      <c r="I14" s="18"/>
      <c r="J14" s="18"/>
      <c r="K14" s="18"/>
      <c r="L14" s="18"/>
      <c r="M14" s="46">
        <f t="shared" si="0"/>
        <v>0</v>
      </c>
      <c r="N14" s="30"/>
    </row>
    <row r="15" spans="1:14" s="10" customFormat="1" ht="20.100000000000001" customHeight="1" x14ac:dyDescent="0.3">
      <c r="A15" s="136"/>
      <c r="B15" s="29" t="s">
        <v>722</v>
      </c>
      <c r="C15" s="16" t="s">
        <v>711</v>
      </c>
      <c r="D15" s="16">
        <v>3000</v>
      </c>
      <c r="E15" s="16">
        <v>200</v>
      </c>
      <c r="F15" s="17">
        <v>36</v>
      </c>
      <c r="G15" s="47">
        <v>0</v>
      </c>
      <c r="H15" s="18"/>
      <c r="I15" s="18"/>
      <c r="J15" s="18"/>
      <c r="K15" s="18"/>
      <c r="L15" s="18"/>
      <c r="M15" s="46">
        <f t="shared" si="0"/>
        <v>0</v>
      </c>
      <c r="N15" s="30"/>
    </row>
    <row r="16" spans="1:14" s="10" customFormat="1" ht="20.100000000000001" customHeight="1" x14ac:dyDescent="0.3">
      <c r="A16" s="136"/>
      <c r="B16" s="29" t="s">
        <v>723</v>
      </c>
      <c r="C16" s="16" t="s">
        <v>715</v>
      </c>
      <c r="D16" s="16">
        <v>500</v>
      </c>
      <c r="E16" s="16">
        <v>200</v>
      </c>
      <c r="F16" s="17">
        <v>36</v>
      </c>
      <c r="G16" s="47">
        <v>0</v>
      </c>
      <c r="H16" s="18"/>
      <c r="I16" s="18"/>
      <c r="J16" s="18"/>
      <c r="K16" s="18"/>
      <c r="L16" s="18"/>
      <c r="M16" s="46">
        <f t="shared" si="0"/>
        <v>0</v>
      </c>
      <c r="N16" s="30"/>
    </row>
    <row r="17" spans="1:14" s="10" customFormat="1" ht="20.100000000000001" customHeight="1" x14ac:dyDescent="0.3">
      <c r="A17" s="136"/>
      <c r="B17" s="29" t="s">
        <v>724</v>
      </c>
      <c r="C17" s="16" t="s">
        <v>713</v>
      </c>
      <c r="D17" s="16">
        <v>7000</v>
      </c>
      <c r="E17" s="16">
        <v>200</v>
      </c>
      <c r="F17" s="17">
        <v>36</v>
      </c>
      <c r="G17" s="47">
        <v>0</v>
      </c>
      <c r="H17" s="18"/>
      <c r="I17" s="18"/>
      <c r="J17" s="18"/>
      <c r="K17" s="18"/>
      <c r="L17" s="18"/>
      <c r="M17" s="46">
        <f t="shared" si="0"/>
        <v>0</v>
      </c>
      <c r="N17" s="30"/>
    </row>
    <row r="18" spans="1:14" s="10" customFormat="1" ht="20.100000000000001" customHeight="1" x14ac:dyDescent="0.3">
      <c r="A18" s="28" t="s">
        <v>725</v>
      </c>
      <c r="B18" s="29" t="s">
        <v>726</v>
      </c>
      <c r="C18" s="16" t="s">
        <v>727</v>
      </c>
      <c r="D18" s="16">
        <v>7000</v>
      </c>
      <c r="E18" s="16">
        <v>600</v>
      </c>
      <c r="F18" s="17">
        <v>20</v>
      </c>
      <c r="G18" s="47">
        <v>0</v>
      </c>
      <c r="H18" s="18"/>
      <c r="I18" s="18"/>
      <c r="J18" s="18"/>
      <c r="K18" s="18"/>
      <c r="L18" s="18"/>
      <c r="M18" s="46">
        <f t="shared" si="0"/>
        <v>0</v>
      </c>
      <c r="N18" s="30"/>
    </row>
    <row r="19" spans="1:14" s="10" customFormat="1" ht="20.100000000000001" customHeight="1" x14ac:dyDescent="0.3">
      <c r="A19" s="138" t="s">
        <v>35</v>
      </c>
      <c r="B19" s="109"/>
      <c r="C19" s="109"/>
      <c r="D19" s="109"/>
      <c r="E19" s="109"/>
      <c r="F19" s="110"/>
      <c r="G19" s="49">
        <f>SUM(G8:G18)</f>
        <v>4000</v>
      </c>
      <c r="H19" s="21"/>
      <c r="I19" s="21"/>
      <c r="J19" s="21"/>
      <c r="K19" s="21"/>
      <c r="L19" s="21"/>
      <c r="M19" s="49">
        <f>SUM(M8:M18)</f>
        <v>455000</v>
      </c>
      <c r="N19" s="42"/>
    </row>
    <row r="20" spans="1:14" s="10" customFormat="1" ht="20.100000000000001" customHeight="1" x14ac:dyDescent="0.3">
      <c r="A20" s="111" t="s">
        <v>251</v>
      </c>
      <c r="B20" s="112"/>
      <c r="C20" s="112"/>
      <c r="D20" s="112"/>
      <c r="E20" s="112"/>
      <c r="F20" s="113"/>
      <c r="G20" s="59">
        <f>G19</f>
        <v>4000</v>
      </c>
      <c r="H20" s="23"/>
      <c r="I20" s="23"/>
      <c r="J20" s="23"/>
      <c r="K20" s="23"/>
      <c r="L20" s="23"/>
      <c r="M20" s="59">
        <f>M19</f>
        <v>455000</v>
      </c>
      <c r="N20" s="24"/>
    </row>
    <row r="21" spans="1:14" s="10" customFormat="1" ht="20.100000000000001" customHeight="1" x14ac:dyDescent="0.3">
      <c r="A21" s="5"/>
      <c r="B21" s="2"/>
      <c r="C21" s="3"/>
      <c r="D21" s="3"/>
      <c r="E21" s="3"/>
      <c r="F21" s="25"/>
      <c r="G21" s="5"/>
      <c r="H21" s="9"/>
      <c r="I21" s="9"/>
      <c r="J21" s="9"/>
      <c r="K21" s="9"/>
      <c r="L21" s="9"/>
      <c r="M21" s="9"/>
      <c r="N21" s="9"/>
    </row>
    <row r="22" spans="1:14" s="10" customFormat="1" ht="20.100000000000001" customHeight="1" x14ac:dyDescent="0.3">
      <c r="A22" s="5"/>
      <c r="B22" s="2"/>
      <c r="C22" s="3"/>
      <c r="D22" s="3"/>
      <c r="E22" s="3"/>
      <c r="F22" s="25"/>
      <c r="G22" s="5"/>
      <c r="H22" s="9"/>
      <c r="I22" s="9"/>
      <c r="J22" s="9"/>
      <c r="K22" s="9"/>
      <c r="L22" s="9"/>
      <c r="M22" s="9"/>
      <c r="N22" s="9"/>
    </row>
  </sheetData>
  <mergeCells count="19">
    <mergeCell ref="A19:F19"/>
    <mergeCell ref="A20:F20"/>
    <mergeCell ref="A2:N2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A8:A13"/>
    <mergeCell ref="A14:A17"/>
  </mergeCells>
  <phoneticPr fontId="9" type="noConversion"/>
  <pageMargins left="0.23622047244094491" right="0.23622047244094491" top="0.35433070866141736" bottom="0.74803149606299213" header="0.31496062992125984" footer="0.31496062992125984"/>
  <pageSetup paperSize="9" scale="74" fitToHeight="0" orientation="landscape" useFirstPageNumber="1" horizontalDpi="4294967295" verticalDpi="4294967295" r:id="rId1"/>
  <headerFooter>
    <oddFooter>&amp;N페이지 중 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완제품 임가공</vt:lpstr>
      <vt:lpstr>반제품 임가공</vt:lpstr>
      <vt:lpstr>완제품 일반무역</vt:lpstr>
      <vt:lpstr>반제품 일반무역</vt:lpstr>
      <vt:lpstr>'반제품 임가공'!Print_Titles</vt:lpstr>
      <vt:lpstr>'완제품 일반무역'!Print_Titles</vt:lpstr>
      <vt:lpstr>'완제품 임가공'!Print_Titles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24</cp:revision>
  <cp:lastPrinted>2026-01-29T07:17:57Z</cp:lastPrinted>
  <dcterms:created xsi:type="dcterms:W3CDTF">2022-01-04T05:44:21Z</dcterms:created>
  <dcterms:modified xsi:type="dcterms:W3CDTF">2026-10-20T04:30:02Z</dcterms:modified>
</cp:coreProperties>
</file>